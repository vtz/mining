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eu Drive\EROCopper\"/>
    </mc:Choice>
  </mc:AlternateContent>
  <xr:revisionPtr revIDLastSave="0" documentId="13_ncr:1_{06DB9D4C-7BFC-48B8-955E-3E708EE48F40}" xr6:coauthVersionLast="47" xr6:coauthVersionMax="47" xr10:uidLastSave="{00000000-0000-0000-0000-000000000000}"/>
  <bookViews>
    <workbookView xWindow="-110" yWindow="-110" windowWidth="19420" windowHeight="11500" tabRatio="835" xr2:uid="{E2DE7B86-0185-446C-8DE9-EBBF28465DD2}"/>
  </bookViews>
  <sheets>
    <sheet name="NSR" sheetId="16" r:id="rId1"/>
    <sheet name="Assumptions -&gt;" sheetId="22" r:id="rId2"/>
    <sheet name="Price and Costs" sheetId="21" r:id="rId3"/>
    <sheet name="Processing" sheetId="3" r:id="rId4"/>
    <sheet name="Data" sheetId="24" r:id="rId5"/>
  </sheets>
  <definedNames>
    <definedName name="_xleta.IF" hidden="1" xlm="1">#NAME?</definedName>
    <definedName name="_xleta.LOOKUP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5" i="16" l="1"/>
  <c r="F25" i="16"/>
  <c r="R24" i="16"/>
  <c r="F24" i="16" l="1"/>
  <c r="M43" i="16" s="1"/>
  <c r="I32" i="3" l="1"/>
  <c r="R26" i="16" l="1"/>
  <c r="Q12" i="16"/>
  <c r="S14" i="16" s="1"/>
  <c r="S12" i="16" l="1"/>
  <c r="Q14" i="16"/>
  <c r="F42" i="16"/>
  <c r="F41" i="16"/>
  <c r="F40" i="16"/>
  <c r="F32" i="16"/>
  <c r="F26" i="16"/>
  <c r="F26" i="3"/>
  <c r="F25" i="3"/>
  <c r="F24" i="3"/>
  <c r="F21" i="3"/>
  <c r="F20" i="3"/>
  <c r="F17" i="3"/>
  <c r="F16" i="3"/>
  <c r="F15" i="3"/>
  <c r="F12" i="3"/>
  <c r="F11" i="3"/>
  <c r="F9" i="3"/>
  <c r="F8" i="3"/>
  <c r="F10" i="3"/>
  <c r="D25" i="3"/>
  <c r="D26" i="3"/>
  <c r="D24" i="3"/>
  <c r="B18" i="24"/>
  <c r="B19" i="24"/>
  <c r="B20" i="24"/>
  <c r="B21" i="24"/>
  <c r="B22" i="24"/>
  <c r="B23" i="24"/>
  <c r="B24" i="24"/>
  <c r="B25" i="24"/>
  <c r="B26" i="24"/>
  <c r="B27" i="24"/>
  <c r="B28" i="24"/>
  <c r="B17" i="24"/>
  <c r="B5" i="24"/>
  <c r="B6" i="24"/>
  <c r="B7" i="24" s="1"/>
  <c r="B8" i="24" s="1"/>
  <c r="B9" i="24" s="1"/>
  <c r="B10" i="24" s="1"/>
  <c r="B11" i="24" s="1"/>
  <c r="B12" i="24" s="1"/>
  <c r="B13" i="24" s="1"/>
  <c r="B14" i="24" s="1"/>
  <c r="B4" i="24"/>
  <c r="M8" i="16" l="1"/>
  <c r="M17" i="16" s="1"/>
  <c r="M27" i="16" s="1"/>
  <c r="Z24" i="16"/>
  <c r="V14" i="16"/>
  <c r="V9" i="16" s="1"/>
  <c r="Z19" i="16"/>
  <c r="F34" i="16"/>
  <c r="F33" i="16"/>
  <c r="M9" i="16" s="1"/>
  <c r="M10" i="16" l="1"/>
  <c r="M19" i="16" s="1"/>
  <c r="M29" i="16" s="1"/>
  <c r="Z29" i="16" l="1"/>
  <c r="M18" i="16"/>
  <c r="M11" i="16"/>
  <c r="M37" i="16"/>
  <c r="M35" i="16"/>
  <c r="M21" i="16" l="1"/>
  <c r="L43" i="16" s="1"/>
  <c r="M28" i="16"/>
  <c r="Z20" i="16"/>
  <c r="V19" i="16"/>
  <c r="V24" i="16" s="1"/>
  <c r="R23" i="16" l="1"/>
  <c r="R28" i="16" s="1"/>
  <c r="M36" i="16"/>
  <c r="V30" i="16"/>
  <c r="Z34" i="16" s="1"/>
  <c r="Z14" i="16"/>
  <c r="Z15" i="16" s="1"/>
  <c r="Z25" i="16"/>
  <c r="Z30" i="16"/>
  <c r="R29" i="16" l="1"/>
  <c r="V35" i="16" l="1"/>
  <c r="W39" i="16" s="1"/>
  <c r="Z35" i="16"/>
</calcChain>
</file>

<file path=xl/sharedStrings.xml><?xml version="1.0" encoding="utf-8"?>
<sst xmlns="http://schemas.openxmlformats.org/spreadsheetml/2006/main" count="243" uniqueCount="129">
  <si>
    <t>Inputs</t>
  </si>
  <si>
    <t xml:space="preserve"> Outputs</t>
  </si>
  <si>
    <t xml:space="preserve">NSR Breakdown </t>
  </si>
  <si>
    <t>Head Grades</t>
  </si>
  <si>
    <t>Mine Inputs</t>
  </si>
  <si>
    <t>Metal</t>
  </si>
  <si>
    <t>Input</t>
  </si>
  <si>
    <t>Unit</t>
  </si>
  <si>
    <t>Output</t>
  </si>
  <si>
    <t>Mine Dilution</t>
  </si>
  <si>
    <t>Ore Recovery</t>
  </si>
  <si>
    <t>%</t>
  </si>
  <si>
    <t>Mineral Resources</t>
  </si>
  <si>
    <t>Mass</t>
  </si>
  <si>
    <t>Mine Cost</t>
  </si>
  <si>
    <t>Plant Cost</t>
  </si>
  <si>
    <t>Recoveries</t>
  </si>
  <si>
    <t>G&amp;A Cost</t>
  </si>
  <si>
    <t>Dilution &amp; Ore Loss</t>
  </si>
  <si>
    <t>Mine</t>
  </si>
  <si>
    <t>NSR</t>
  </si>
  <si>
    <t xml:space="preserve">Outputs </t>
  </si>
  <si>
    <t>Revenue</t>
  </si>
  <si>
    <t>Price Assumption</t>
  </si>
  <si>
    <t>Total</t>
  </si>
  <si>
    <t>EBITDA</t>
  </si>
  <si>
    <t>Selling Costs</t>
  </si>
  <si>
    <t>Freight and Others</t>
  </si>
  <si>
    <t>EBITDA Margin</t>
  </si>
  <si>
    <t>NSR Constants</t>
  </si>
  <si>
    <t xml:space="preserve">Refining </t>
  </si>
  <si>
    <t>Metal Prices</t>
  </si>
  <si>
    <t>Metal Payable (%)</t>
  </si>
  <si>
    <t>Royalties</t>
  </si>
  <si>
    <t>Price and Cost Assumptions</t>
  </si>
  <si>
    <t>Price Deck</t>
  </si>
  <si>
    <t>Consensus Low</t>
  </si>
  <si>
    <t>Consensus Mean</t>
  </si>
  <si>
    <t>Consensus High</t>
  </si>
  <si>
    <t>Pricing Assumptions</t>
  </si>
  <si>
    <t>Discount</t>
  </si>
  <si>
    <t>Payable</t>
  </si>
  <si>
    <t>Penalties</t>
  </si>
  <si>
    <t>Value</t>
  </si>
  <si>
    <t>000 $</t>
  </si>
  <si>
    <t>Net Smelter Return ($/t)</t>
  </si>
  <si>
    <t>Processing Assumptions</t>
  </si>
  <si>
    <t>Type</t>
  </si>
  <si>
    <t xml:space="preserve"> Concentrate Grade</t>
  </si>
  <si>
    <t>tonnes</t>
  </si>
  <si>
    <t>Cu</t>
  </si>
  <si>
    <t>Au</t>
  </si>
  <si>
    <t>g/t</t>
  </si>
  <si>
    <t>Au-&gt; Cu</t>
  </si>
  <si>
    <t>TC</t>
  </si>
  <si>
    <t>RC</t>
  </si>
  <si>
    <t>Au -&gt; Cu</t>
  </si>
  <si>
    <t>Area</t>
  </si>
  <si>
    <t>Conc. Loss Factor</t>
  </si>
  <si>
    <t>oz/t</t>
  </si>
  <si>
    <t>Processing</t>
  </si>
  <si>
    <t>CFEM</t>
  </si>
  <si>
    <t>Third-Party</t>
  </si>
  <si>
    <t>Conc. Grade</t>
  </si>
  <si>
    <t>Pilar UG</t>
  </si>
  <si>
    <t>Vermelhos UG</t>
  </si>
  <si>
    <t>Surubim &amp; C12</t>
  </si>
  <si>
    <t>Vermelhos OP</t>
  </si>
  <si>
    <t>Suçuarana OP</t>
  </si>
  <si>
    <t>S10</t>
  </si>
  <si>
    <t>S5</t>
  </si>
  <si>
    <t>MSBSUL</t>
  </si>
  <si>
    <t>P1P2NE</t>
  </si>
  <si>
    <t>P1P2W</t>
  </si>
  <si>
    <t>BARAUNA</t>
  </si>
  <si>
    <t>HONEYPOT</t>
  </si>
  <si>
    <t>R22UG</t>
  </si>
  <si>
    <t>MSBW</t>
  </si>
  <si>
    <t>GO2040</t>
  </si>
  <si>
    <t>PROJETO N-100</t>
  </si>
  <si>
    <t>EAST LIMB</t>
  </si>
  <si>
    <t>Deepening Above - 965</t>
  </si>
  <si>
    <t>Deepening Below - 965</t>
  </si>
  <si>
    <t>Vermelhos Sul</t>
  </si>
  <si>
    <t>UG03</t>
  </si>
  <si>
    <t>N5/UG04</t>
  </si>
  <si>
    <t>N8 - UG</t>
  </si>
  <si>
    <t>Surubim OP</t>
  </si>
  <si>
    <t>C12 OP</t>
  </si>
  <si>
    <t>C12 UG</t>
  </si>
  <si>
    <t>N8</t>
  </si>
  <si>
    <t>N9</t>
  </si>
  <si>
    <t>Area Selection</t>
  </si>
  <si>
    <t>Mine / Area Selection</t>
  </si>
  <si>
    <t>b</t>
  </si>
  <si>
    <t>a</t>
  </si>
  <si>
    <t>Copper Recovery</t>
  </si>
  <si>
    <t>Ag</t>
  </si>
  <si>
    <t>Ag-&gt;Cu</t>
  </si>
  <si>
    <t>USD / t ore</t>
  </si>
  <si>
    <t>Fixed</t>
  </si>
  <si>
    <t>Cu Recovery</t>
  </si>
  <si>
    <t>Ag &amp; Au Recovery</t>
  </si>
  <si>
    <t>Downside</t>
  </si>
  <si>
    <t>Base Case</t>
  </si>
  <si>
    <t>Ag -&gt; Cu</t>
  </si>
  <si>
    <t>Cu Conc. Grade</t>
  </si>
  <si>
    <t>Mineral Reserves</t>
  </si>
  <si>
    <t>Ag ($/oz)</t>
  </si>
  <si>
    <t>Au ($/oz)</t>
  </si>
  <si>
    <t>Cu ($/lb)</t>
  </si>
  <si>
    <t>$/oz</t>
  </si>
  <si>
    <t>Other Cost ($/t)</t>
  </si>
  <si>
    <t>Freight</t>
  </si>
  <si>
    <t>$/t conc.</t>
  </si>
  <si>
    <t>Conc. Price</t>
  </si>
  <si>
    <t>$/t</t>
  </si>
  <si>
    <t>Cu Eq</t>
  </si>
  <si>
    <t>Stand. Formula</t>
  </si>
  <si>
    <t>Haul Cost</t>
  </si>
  <si>
    <t>Mine Method</t>
  </si>
  <si>
    <t>Underground</t>
  </si>
  <si>
    <t>$/t ore</t>
  </si>
  <si>
    <t>Mining Cost</t>
  </si>
  <si>
    <t>Processing Cost</t>
  </si>
  <si>
    <t xml:space="preserve">Caraíba Geomet </t>
  </si>
  <si>
    <t>Payable, TC, and RC</t>
  </si>
  <si>
    <t>EBITDA Analysis</t>
  </si>
  <si>
    <t>Upside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</si>
</sst>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&quot;$&quot;#,##0;[Red]\-&quot;$&quot;#,##0"/>
    <numFmt numFmtId="165" formatCode="0.0"/>
    <numFmt numFmtId="166" formatCode="0.0%"/>
    <numFmt numFmtId="167" formatCode="0.00000"/>
    <numFmt numFmtId="168" formatCode="_-* #,##0.000_-;\-* #,##0.000_-;_-* &quot;-&quot;??_-;_-@_-"/>
    <numFmt numFmtId="169" formatCode="0.000000"/>
    <numFmt numFmtId="170" formatCode="_-* #,##0_-;\-* #,##0_-;_-* &quot;-&quot;??_-;_-@_-"/>
    <numFmt numFmtId="171" formatCode="#,##0.0"/>
    <numFmt numFmtId="172" formatCode="#,##0.000"/>
    <numFmt numFmtId="173" formatCode="0.0000"/>
  </numFmts>
  <fonts count="1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12"/>
      <color theme="0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1" fillId="0" borderId="0"/>
  </cellStyleXfs>
  <cellXfs count="190">
    <xf numFmtId="0" fontId="0" fillId="0" borderId="0" xfId="0"/>
    <xf numFmtId="0" fontId="3" fillId="2" borderId="0" xfId="0" applyFont="1" applyFill="1" applyAlignment="1">
      <alignment vertical="center"/>
    </xf>
    <xf numFmtId="0" fontId="3" fillId="3" borderId="1" xfId="0" applyFont="1" applyFill="1" applyBorder="1" applyAlignment="1">
      <alignment vertical="center"/>
    </xf>
    <xf numFmtId="0" fontId="3" fillId="3" borderId="2" xfId="0" applyFont="1" applyFill="1" applyBorder="1" applyAlignment="1">
      <alignment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vertical="center"/>
    </xf>
    <xf numFmtId="0" fontId="3" fillId="3" borderId="4" xfId="0" applyFont="1" applyFill="1" applyBorder="1" applyAlignment="1">
      <alignment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3" fillId="3" borderId="6" xfId="0" applyFont="1" applyFill="1" applyBorder="1" applyAlignment="1">
      <alignment vertical="center"/>
    </xf>
    <xf numFmtId="0" fontId="3" fillId="3" borderId="7" xfId="0" applyFont="1" applyFill="1" applyBorder="1" applyAlignment="1">
      <alignment vertical="center"/>
    </xf>
    <xf numFmtId="0" fontId="3" fillId="3" borderId="8" xfId="0" applyFont="1" applyFill="1" applyBorder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2" fontId="3" fillId="3" borderId="0" xfId="0" applyNumberFormat="1" applyFont="1" applyFill="1" applyAlignment="1">
      <alignment horizontal="center" vertical="center"/>
    </xf>
    <xf numFmtId="2" fontId="4" fillId="3" borderId="14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2" fontId="3" fillId="2" borderId="0" xfId="0" applyNumberFormat="1" applyFont="1" applyFill="1" applyAlignment="1">
      <alignment vertical="center"/>
    </xf>
    <xf numFmtId="165" fontId="3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43" fontId="3" fillId="2" borderId="0" xfId="0" applyNumberFormat="1" applyFont="1" applyFill="1" applyAlignment="1">
      <alignment vertical="center"/>
    </xf>
    <xf numFmtId="166" fontId="3" fillId="2" borderId="0" xfId="2" applyNumberFormat="1" applyFont="1" applyFill="1" applyBorder="1" applyAlignment="1">
      <alignment vertical="center"/>
    </xf>
    <xf numFmtId="169" fontId="3" fillId="2" borderId="0" xfId="0" applyNumberFormat="1" applyFont="1" applyFill="1" applyAlignment="1">
      <alignment vertical="center"/>
    </xf>
    <xf numFmtId="167" fontId="3" fillId="2" borderId="0" xfId="0" applyNumberFormat="1" applyFont="1" applyFill="1" applyAlignment="1">
      <alignment vertical="center"/>
    </xf>
    <xf numFmtId="0" fontId="3" fillId="2" borderId="18" xfId="0" applyFont="1" applyFill="1" applyBorder="1" applyAlignment="1">
      <alignment vertical="center"/>
    </xf>
    <xf numFmtId="0" fontId="3" fillId="2" borderId="19" xfId="0" applyFont="1" applyFill="1" applyBorder="1" applyAlignment="1">
      <alignment vertical="center"/>
    </xf>
    <xf numFmtId="0" fontId="3" fillId="2" borderId="20" xfId="0" applyFont="1" applyFill="1" applyBorder="1" applyAlignment="1">
      <alignment vertical="center"/>
    </xf>
    <xf numFmtId="0" fontId="3" fillId="2" borderId="21" xfId="0" applyFont="1" applyFill="1" applyBorder="1" applyAlignment="1">
      <alignment vertical="center"/>
    </xf>
    <xf numFmtId="0" fontId="3" fillId="2" borderId="22" xfId="0" applyFont="1" applyFill="1" applyBorder="1" applyAlignment="1">
      <alignment vertical="center"/>
    </xf>
    <xf numFmtId="0" fontId="3" fillId="2" borderId="23" xfId="0" applyFont="1" applyFill="1" applyBorder="1" applyAlignment="1">
      <alignment vertical="center"/>
    </xf>
    <xf numFmtId="0" fontId="3" fillId="2" borderId="23" xfId="0" applyFont="1" applyFill="1" applyBorder="1" applyAlignment="1">
      <alignment horizontal="center" vertical="center"/>
    </xf>
    <xf numFmtId="165" fontId="3" fillId="2" borderId="23" xfId="0" applyNumberFormat="1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vertical="center"/>
    </xf>
    <xf numFmtId="0" fontId="3" fillId="2" borderId="25" xfId="0" applyFont="1" applyFill="1" applyBorder="1" applyAlignment="1">
      <alignment vertical="center"/>
    </xf>
    <xf numFmtId="0" fontId="3" fillId="5" borderId="0" xfId="0" applyFont="1" applyFill="1" applyAlignment="1">
      <alignment vertical="center"/>
    </xf>
    <xf numFmtId="0" fontId="3" fillId="5" borderId="0" xfId="0" applyFont="1" applyFill="1" applyAlignment="1">
      <alignment horizontal="center" vertical="center"/>
    </xf>
    <xf numFmtId="165" fontId="3" fillId="5" borderId="0" xfId="0" applyNumberFormat="1" applyFont="1" applyFill="1" applyAlignment="1">
      <alignment horizontal="center" vertical="center"/>
    </xf>
    <xf numFmtId="168" fontId="3" fillId="5" borderId="0" xfId="1" applyNumberFormat="1" applyFont="1" applyFill="1" applyBorder="1" applyAlignment="1">
      <alignment horizontal="center" vertical="center"/>
    </xf>
    <xf numFmtId="43" fontId="3" fillId="5" borderId="0" xfId="1" applyFont="1" applyFill="1" applyBorder="1" applyAlignment="1">
      <alignment horizontal="center" vertical="center"/>
    </xf>
    <xf numFmtId="2" fontId="3" fillId="5" borderId="0" xfId="0" applyNumberFormat="1" applyFont="1" applyFill="1" applyAlignment="1">
      <alignment vertical="center"/>
    </xf>
    <xf numFmtId="166" fontId="3" fillId="4" borderId="5" xfId="2" applyNumberFormat="1" applyFont="1" applyFill="1" applyBorder="1" applyAlignment="1" applyProtection="1">
      <alignment horizontal="center" vertical="center"/>
      <protection locked="0"/>
    </xf>
    <xf numFmtId="9" fontId="3" fillId="4" borderId="8" xfId="2" applyFont="1" applyFill="1" applyBorder="1" applyAlignment="1" applyProtection="1">
      <alignment horizontal="center" vertical="center"/>
      <protection locked="0"/>
    </xf>
    <xf numFmtId="0" fontId="3" fillId="2" borderId="19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3" fillId="2" borderId="22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0" fontId="3" fillId="2" borderId="25" xfId="0" applyFont="1" applyFill="1" applyBorder="1" applyAlignment="1">
      <alignment horizontal="center" vertical="center"/>
    </xf>
    <xf numFmtId="9" fontId="3" fillId="2" borderId="0" xfId="2" applyFont="1" applyFill="1" applyBorder="1" applyAlignment="1">
      <alignment horizontal="center" vertical="center"/>
    </xf>
    <xf numFmtId="2" fontId="3" fillId="4" borderId="0" xfId="0" applyNumberFormat="1" applyFont="1" applyFill="1" applyAlignment="1" applyProtection="1">
      <alignment horizontal="center" vertical="center"/>
      <protection locked="0"/>
    </xf>
    <xf numFmtId="0" fontId="3" fillId="2" borderId="7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2" fontId="4" fillId="3" borderId="7" xfId="0" applyNumberFormat="1" applyFont="1" applyFill="1" applyBorder="1" applyAlignment="1">
      <alignment horizontal="center" vertical="center"/>
    </xf>
    <xf numFmtId="165" fontId="3" fillId="3" borderId="7" xfId="0" applyNumberFormat="1" applyFont="1" applyFill="1" applyBorder="1" applyAlignment="1">
      <alignment horizontal="center" vertical="center"/>
    </xf>
    <xf numFmtId="43" fontId="3" fillId="2" borderId="0" xfId="1" applyFont="1" applyFill="1" applyBorder="1" applyAlignment="1">
      <alignment horizontal="center" vertical="center"/>
    </xf>
    <xf numFmtId="43" fontId="3" fillId="2" borderId="23" xfId="1" applyFont="1" applyFill="1" applyBorder="1" applyAlignment="1">
      <alignment vertical="center"/>
    </xf>
    <xf numFmtId="43" fontId="3" fillId="2" borderId="0" xfId="1" applyFont="1" applyFill="1" applyBorder="1" applyAlignme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9" fontId="3" fillId="3" borderId="0" xfId="2" applyFont="1" applyFill="1" applyAlignment="1">
      <alignment horizontal="center" vertical="center"/>
    </xf>
    <xf numFmtId="164" fontId="3" fillId="3" borderId="5" xfId="0" quotePrefix="1" applyNumberFormat="1" applyFont="1" applyFill="1" applyBorder="1" applyAlignment="1">
      <alignment horizontal="center" vertical="center"/>
    </xf>
    <xf numFmtId="166" fontId="4" fillId="3" borderId="7" xfId="2" applyNumberFormat="1" applyFont="1" applyFill="1" applyBorder="1" applyAlignment="1">
      <alignment vertical="center"/>
    </xf>
    <xf numFmtId="43" fontId="3" fillId="3" borderId="13" xfId="0" applyNumberFormat="1" applyFont="1" applyFill="1" applyBorder="1" applyAlignment="1">
      <alignment horizontal="center" vertical="center"/>
    </xf>
    <xf numFmtId="43" fontId="3" fillId="3" borderId="13" xfId="0" applyNumberFormat="1" applyFont="1" applyFill="1" applyBorder="1" applyAlignment="1">
      <alignment vertical="center"/>
    </xf>
    <xf numFmtId="43" fontId="3" fillId="3" borderId="3" xfId="1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>
      <alignment horizontal="left" vertical="center"/>
    </xf>
    <xf numFmtId="2" fontId="3" fillId="3" borderId="7" xfId="0" applyNumberFormat="1" applyFont="1" applyFill="1" applyBorder="1" applyAlignment="1">
      <alignment horizontal="center" vertical="center"/>
    </xf>
    <xf numFmtId="0" fontId="3" fillId="5" borderId="0" xfId="0" applyFont="1" applyFill="1" applyAlignment="1">
      <alignment vertical="center" wrapText="1"/>
    </xf>
    <xf numFmtId="0" fontId="3" fillId="2" borderId="22" xfId="0" applyFont="1" applyFill="1" applyBorder="1" applyAlignment="1">
      <alignment vertical="center" wrapText="1"/>
    </xf>
    <xf numFmtId="0" fontId="3" fillId="2" borderId="0" xfId="0" applyFont="1" applyFill="1" applyAlignment="1">
      <alignment vertical="center" wrapText="1"/>
    </xf>
    <xf numFmtId="0" fontId="3" fillId="2" borderId="23" xfId="0" applyFont="1" applyFill="1" applyBorder="1" applyAlignment="1">
      <alignment vertical="center" wrapText="1"/>
    </xf>
    <xf numFmtId="0" fontId="7" fillId="6" borderId="15" xfId="0" applyFont="1" applyFill="1" applyBorder="1" applyAlignment="1">
      <alignment horizontal="right" vertical="center" wrapText="1"/>
    </xf>
    <xf numFmtId="0" fontId="4" fillId="2" borderId="0" xfId="0" quotePrefix="1" applyFont="1" applyFill="1" applyAlignment="1">
      <alignment horizontal="right" vertical="center"/>
    </xf>
    <xf numFmtId="0" fontId="6" fillId="2" borderId="0" xfId="0" applyFont="1" applyFill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textRotation="90" wrapText="1"/>
    </xf>
    <xf numFmtId="0" fontId="9" fillId="3" borderId="0" xfId="0" applyFont="1" applyFill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3" fontId="9" fillId="4" borderId="0" xfId="0" applyNumberFormat="1" applyFont="1" applyFill="1" applyAlignment="1" applyProtection="1">
      <alignment horizontal="center" vertical="center"/>
      <protection locked="0"/>
    </xf>
    <xf numFmtId="0" fontId="9" fillId="3" borderId="6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 wrapText="1"/>
    </xf>
    <xf numFmtId="4" fontId="9" fillId="4" borderId="0" xfId="0" applyNumberFormat="1" applyFont="1" applyFill="1" applyAlignment="1" applyProtection="1">
      <alignment horizontal="center" vertical="center"/>
      <protection locked="0"/>
    </xf>
    <xf numFmtId="170" fontId="3" fillId="3" borderId="0" xfId="1" applyNumberFormat="1" applyFont="1" applyFill="1" applyBorder="1" applyAlignment="1" applyProtection="1">
      <alignment vertical="center"/>
      <protection locked="0"/>
    </xf>
    <xf numFmtId="170" fontId="3" fillId="3" borderId="0" xfId="1" applyNumberFormat="1" applyFont="1" applyFill="1" applyBorder="1" applyAlignment="1">
      <alignment vertical="center"/>
    </xf>
    <xf numFmtId="170" fontId="4" fillId="3" borderId="0" xfId="1" applyNumberFormat="1" applyFont="1" applyFill="1" applyBorder="1" applyAlignment="1">
      <alignment vertical="center"/>
    </xf>
    <xf numFmtId="0" fontId="9" fillId="3" borderId="0" xfId="0" applyFont="1" applyFill="1" applyAlignment="1">
      <alignment horizontal="center" vertical="center" wrapText="1"/>
    </xf>
    <xf numFmtId="9" fontId="9" fillId="4" borderId="0" xfId="2" applyFont="1" applyFill="1" applyBorder="1" applyAlignment="1" applyProtection="1">
      <alignment horizontal="center" vertical="center"/>
      <protection locked="0"/>
    </xf>
    <xf numFmtId="0" fontId="3" fillId="3" borderId="16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2" fontId="3" fillId="4" borderId="7" xfId="0" applyNumberFormat="1" applyFont="1" applyFill="1" applyBorder="1" applyAlignment="1" applyProtection="1">
      <alignment horizontal="center" vertical="center"/>
      <protection locked="0"/>
    </xf>
    <xf numFmtId="2" fontId="3" fillId="4" borderId="8" xfId="0" applyNumberFormat="1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 textRotation="90"/>
    </xf>
    <xf numFmtId="172" fontId="9" fillId="4" borderId="0" xfId="0" applyNumberFormat="1" applyFont="1" applyFill="1" applyAlignment="1" applyProtection="1">
      <alignment horizontal="center" vertical="center"/>
      <protection locked="0"/>
    </xf>
    <xf numFmtId="0" fontId="9" fillId="3" borderId="16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vertical="center"/>
    </xf>
    <xf numFmtId="0" fontId="3" fillId="3" borderId="28" xfId="0" applyFont="1" applyFill="1" applyBorder="1" applyAlignment="1">
      <alignment vertical="center"/>
    </xf>
    <xf numFmtId="0" fontId="3" fillId="3" borderId="30" xfId="0" applyFont="1" applyFill="1" applyBorder="1" applyAlignment="1">
      <alignment vertical="center"/>
    </xf>
    <xf numFmtId="2" fontId="4" fillId="3" borderId="0" xfId="0" applyNumberFormat="1" applyFont="1" applyFill="1" applyAlignment="1">
      <alignment horizontal="center" vertical="center"/>
    </xf>
    <xf numFmtId="0" fontId="3" fillId="3" borderId="12" xfId="0" applyFont="1" applyFill="1" applyBorder="1" applyAlignment="1">
      <alignment vertical="center"/>
    </xf>
    <xf numFmtId="0" fontId="4" fillId="3" borderId="12" xfId="0" applyFont="1" applyFill="1" applyBorder="1" applyAlignment="1">
      <alignment horizontal="center" vertical="center"/>
    </xf>
    <xf numFmtId="2" fontId="4" fillId="3" borderId="12" xfId="0" applyNumberFormat="1" applyFont="1" applyFill="1" applyBorder="1" applyAlignment="1">
      <alignment horizontal="center" vertical="center"/>
    </xf>
    <xf numFmtId="0" fontId="3" fillId="3" borderId="32" xfId="0" applyFont="1" applyFill="1" applyBorder="1" applyAlignment="1">
      <alignment vertical="center"/>
    </xf>
    <xf numFmtId="43" fontId="9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4" fillId="3" borderId="11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171" fontId="9" fillId="4" borderId="0" xfId="0" applyNumberFormat="1" applyFont="1" applyFill="1" applyAlignment="1" applyProtection="1">
      <alignment horizontal="center" vertical="center"/>
      <protection locked="0"/>
    </xf>
    <xf numFmtId="165" fontId="3" fillId="3" borderId="0" xfId="0" applyNumberFormat="1" applyFont="1" applyFill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10" fontId="9" fillId="4" borderId="0" xfId="2" applyNumberFormat="1" applyFont="1" applyFill="1" applyBorder="1" applyAlignment="1" applyProtection="1">
      <alignment horizontal="center" vertical="center"/>
      <protection locked="0"/>
    </xf>
    <xf numFmtId="4" fontId="3" fillId="3" borderId="0" xfId="0" applyNumberFormat="1" applyFont="1" applyFill="1" applyAlignment="1">
      <alignment horizontal="center" vertical="center"/>
    </xf>
    <xf numFmtId="2" fontId="3" fillId="4" borderId="4" xfId="2" applyNumberFormat="1" applyFont="1" applyFill="1" applyBorder="1" applyAlignment="1">
      <alignment horizontal="center" vertical="center"/>
    </xf>
    <xf numFmtId="2" fontId="3" fillId="4" borderId="5" xfId="2" applyNumberFormat="1" applyFont="1" applyFill="1" applyBorder="1" applyAlignment="1">
      <alignment horizontal="center" vertical="center"/>
    </xf>
    <xf numFmtId="2" fontId="3" fillId="4" borderId="6" xfId="2" applyNumberFormat="1" applyFont="1" applyFill="1" applyBorder="1" applyAlignment="1">
      <alignment horizontal="center" vertical="center"/>
    </xf>
    <xf numFmtId="2" fontId="3" fillId="4" borderId="8" xfId="2" applyNumberFormat="1" applyFont="1" applyFill="1" applyBorder="1" applyAlignment="1">
      <alignment horizontal="center" vertical="center"/>
    </xf>
    <xf numFmtId="173" fontId="3" fillId="2" borderId="0" xfId="0" applyNumberFormat="1" applyFont="1" applyFill="1" applyAlignment="1">
      <alignment vertical="center"/>
    </xf>
    <xf numFmtId="168" fontId="3" fillId="3" borderId="7" xfId="1" applyNumberFormat="1" applyFont="1" applyFill="1" applyBorder="1" applyAlignment="1">
      <alignment horizontal="center" vertical="center"/>
    </xf>
    <xf numFmtId="166" fontId="3" fillId="2" borderId="0" xfId="2" applyNumberFormat="1" applyFont="1" applyFill="1" applyAlignment="1">
      <alignment vertical="center"/>
    </xf>
    <xf numFmtId="10" fontId="3" fillId="2" borderId="0" xfId="2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8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3" fontId="3" fillId="4" borderId="0" xfId="0" applyNumberFormat="1" applyFont="1" applyFill="1" applyAlignment="1" applyProtection="1">
      <alignment horizontal="center" vertical="center"/>
      <protection locked="0"/>
    </xf>
    <xf numFmtId="10" fontId="9" fillId="2" borderId="0" xfId="0" applyNumberFormat="1" applyFont="1" applyFill="1" applyAlignment="1">
      <alignment horizontal="center" vertical="center"/>
    </xf>
    <xf numFmtId="167" fontId="3" fillId="3" borderId="7" xfId="0" applyNumberFormat="1" applyFont="1" applyFill="1" applyBorder="1" applyAlignment="1">
      <alignment horizontal="center" vertical="center"/>
    </xf>
    <xf numFmtId="2" fontId="7" fillId="6" borderId="16" xfId="0" applyNumberFormat="1" applyFont="1" applyFill="1" applyBorder="1" applyAlignment="1">
      <alignment horizontal="right" vertical="center" wrapText="1"/>
    </xf>
    <xf numFmtId="2" fontId="7" fillId="6" borderId="17" xfId="0" applyNumberFormat="1" applyFont="1" applyFill="1" applyBorder="1" applyAlignment="1">
      <alignment horizontal="right" vertical="center" wrapText="1"/>
    </xf>
    <xf numFmtId="2" fontId="3" fillId="3" borderId="15" xfId="0" applyNumberFormat="1" applyFont="1" applyFill="1" applyBorder="1" applyAlignment="1">
      <alignment horizontal="center" vertical="center"/>
    </xf>
    <xf numFmtId="2" fontId="3" fillId="3" borderId="17" xfId="0" applyNumberFormat="1" applyFont="1" applyFill="1" applyBorder="1" applyAlignment="1">
      <alignment horizontal="center" vertical="center"/>
    </xf>
    <xf numFmtId="9" fontId="3" fillId="3" borderId="15" xfId="2" applyFont="1" applyFill="1" applyBorder="1" applyAlignment="1">
      <alignment horizontal="center" vertical="center"/>
    </xf>
    <xf numFmtId="9" fontId="3" fillId="3" borderId="17" xfId="2" applyFont="1" applyFill="1" applyBorder="1" applyAlignment="1">
      <alignment horizontal="center" vertical="center"/>
    </xf>
    <xf numFmtId="165" fontId="3" fillId="2" borderId="7" xfId="0" applyNumberFormat="1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textRotation="90"/>
    </xf>
    <xf numFmtId="0" fontId="4" fillId="3" borderId="10" xfId="0" applyFont="1" applyFill="1" applyBorder="1" applyAlignment="1">
      <alignment horizontal="center" vertical="center" textRotation="90"/>
    </xf>
    <xf numFmtId="0" fontId="4" fillId="3" borderId="11" xfId="0" applyFont="1" applyFill="1" applyBorder="1" applyAlignment="1">
      <alignment horizontal="center" vertical="center" textRotation="90"/>
    </xf>
    <xf numFmtId="0" fontId="6" fillId="2" borderId="0" xfId="0" applyFont="1" applyFill="1" applyAlignment="1">
      <alignment horizontal="center" vertical="center"/>
    </xf>
    <xf numFmtId="0" fontId="4" fillId="3" borderId="9" xfId="0" applyFont="1" applyFill="1" applyBorder="1" applyAlignment="1">
      <alignment horizontal="center" vertical="center" textRotation="90" wrapText="1"/>
    </xf>
    <xf numFmtId="0" fontId="4" fillId="3" borderId="10" xfId="0" applyFont="1" applyFill="1" applyBorder="1" applyAlignment="1">
      <alignment horizontal="center" vertical="center" textRotation="90" wrapText="1"/>
    </xf>
    <xf numFmtId="0" fontId="4" fillId="3" borderId="11" xfId="0" applyFont="1" applyFill="1" applyBorder="1" applyAlignment="1">
      <alignment horizontal="center" vertical="center" textRotation="90" wrapText="1"/>
    </xf>
    <xf numFmtId="0" fontId="4" fillId="3" borderId="26" xfId="0" applyFont="1" applyFill="1" applyBorder="1" applyAlignment="1">
      <alignment horizontal="center" vertical="center" textRotation="90"/>
    </xf>
    <xf numFmtId="0" fontId="4" fillId="3" borderId="29" xfId="0" applyFont="1" applyFill="1" applyBorder="1" applyAlignment="1">
      <alignment horizontal="center" vertical="center" textRotation="90"/>
    </xf>
    <xf numFmtId="0" fontId="4" fillId="3" borderId="31" xfId="0" applyFont="1" applyFill="1" applyBorder="1" applyAlignment="1">
      <alignment horizontal="center" vertical="center" textRotation="90"/>
    </xf>
    <xf numFmtId="0" fontId="4" fillId="3" borderId="4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</cellXfs>
  <cellStyles count="6">
    <cellStyle name="Normal" xfId="0" builtinId="0"/>
    <cellStyle name="Normal 2" xfId="3" xr:uid="{C2A4F79B-7FF9-47D7-9D5B-375CC8C0EAAE}"/>
    <cellStyle name="Normal 3" xfId="5" xr:uid="{6E4B7AC2-018D-4243-8C4F-833FF297B583}"/>
    <cellStyle name="Porcentagem" xfId="2" builtinId="5"/>
    <cellStyle name="Vírgula" xfId="1" builtinId="3"/>
    <cellStyle name="Vírgula 2" xfId="4" xr:uid="{E0DAEA3D-A332-48FF-8836-9E3B5845AB8D}"/>
  </cellStyles>
  <dxfs count="0"/>
  <tableStyles count="0" defaultTableStyle="TableStyleMedium2" defaultPivotStyle="PivotStyleLight16"/>
  <colors>
    <mruColors>
      <color rgb="FFC99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customXml" Target="../ink/ink1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jpe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customXml" Target="../ink/ink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467500</xdr:colOff>
      <xdr:row>5</xdr:row>
      <xdr:rowOff>142875</xdr:rowOff>
    </xdr:from>
    <xdr:to>
      <xdr:col>23</xdr:col>
      <xdr:colOff>702131</xdr:colOff>
      <xdr:row>9</xdr:row>
      <xdr:rowOff>169862</xdr:rowOff>
    </xdr:to>
    <xdr:pic>
      <xdr:nvPicPr>
        <xdr:cNvPr id="2" name="Graphic 4" descr="Cube with solid fill">
          <a:extLst>
            <a:ext uri="{FF2B5EF4-FFF2-40B4-BE49-F238E27FC236}">
              <a16:creationId xmlns:a16="http://schemas.microsoft.com/office/drawing/2014/main" id="{A840221A-A29A-43C6-917B-B13326C98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222475" y="1428750"/>
          <a:ext cx="1055687" cy="1065212"/>
        </a:xfrm>
        <a:prstGeom prst="rect">
          <a:avLst/>
        </a:prstGeom>
      </xdr:spPr>
    </xdr:pic>
    <xdr:clientData/>
  </xdr:twoCellAnchor>
  <xdr:twoCellAnchor editAs="oneCell">
    <xdr:from>
      <xdr:col>22</xdr:col>
      <xdr:colOff>598468</xdr:colOff>
      <xdr:row>11</xdr:row>
      <xdr:rowOff>153975</xdr:rowOff>
    </xdr:from>
    <xdr:to>
      <xdr:col>23</xdr:col>
      <xdr:colOff>573067</xdr:colOff>
      <xdr:row>14</xdr:row>
      <xdr:rowOff>188900</xdr:rowOff>
    </xdr:to>
    <xdr:pic>
      <xdr:nvPicPr>
        <xdr:cNvPr id="3" name="Graphic 10" descr="Mining tools with solid fill">
          <a:extLst>
            <a:ext uri="{FF2B5EF4-FFF2-40B4-BE49-F238E27FC236}">
              <a16:creationId xmlns:a16="http://schemas.microsoft.com/office/drawing/2014/main" id="{0A00D751-0EB3-4D68-9D6B-C8B11C890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353443" y="2982900"/>
          <a:ext cx="803275" cy="806450"/>
        </a:xfrm>
        <a:prstGeom prst="rect">
          <a:avLst/>
        </a:prstGeom>
      </xdr:spPr>
    </xdr:pic>
    <xdr:clientData/>
  </xdr:twoCellAnchor>
  <xdr:twoCellAnchor editAs="oneCell">
    <xdr:from>
      <xdr:col>22</xdr:col>
      <xdr:colOff>514330</xdr:colOff>
      <xdr:row>16</xdr:row>
      <xdr:rowOff>116675</xdr:rowOff>
    </xdr:from>
    <xdr:to>
      <xdr:col>23</xdr:col>
      <xdr:colOff>664824</xdr:colOff>
      <xdr:row>20</xdr:row>
      <xdr:rowOff>76987</xdr:rowOff>
    </xdr:to>
    <xdr:pic>
      <xdr:nvPicPr>
        <xdr:cNvPr id="4" name="Graphic 3" descr="Factory with solid fill">
          <a:extLst>
            <a:ext uri="{FF2B5EF4-FFF2-40B4-BE49-F238E27FC236}">
              <a16:creationId xmlns:a16="http://schemas.microsoft.com/office/drawing/2014/main" id="{D3840F89-7925-4C95-BC18-AABD083BC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269305" y="4231475"/>
          <a:ext cx="971550" cy="989012"/>
        </a:xfrm>
        <a:prstGeom prst="rect">
          <a:avLst/>
        </a:prstGeom>
      </xdr:spPr>
    </xdr:pic>
    <xdr:clientData/>
  </xdr:twoCellAnchor>
  <xdr:twoCellAnchor editAs="oneCell">
    <xdr:from>
      <xdr:col>22</xdr:col>
      <xdr:colOff>609580</xdr:colOff>
      <xdr:row>21</xdr:row>
      <xdr:rowOff>179387</xdr:rowOff>
    </xdr:from>
    <xdr:to>
      <xdr:col>23</xdr:col>
      <xdr:colOff>552429</xdr:colOff>
      <xdr:row>24</xdr:row>
      <xdr:rowOff>190500</xdr:rowOff>
    </xdr:to>
    <xdr:pic>
      <xdr:nvPicPr>
        <xdr:cNvPr id="5" name="Graphic 28" descr="Freight with solid fill">
          <a:extLst>
            <a:ext uri="{FF2B5EF4-FFF2-40B4-BE49-F238E27FC236}">
              <a16:creationId xmlns:a16="http://schemas.microsoft.com/office/drawing/2014/main" id="{AEAA9A20-8627-47F6-AE44-271282C48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364555" y="5580062"/>
          <a:ext cx="781050" cy="782638"/>
        </a:xfrm>
        <a:prstGeom prst="rect">
          <a:avLst/>
        </a:prstGeom>
      </xdr:spPr>
    </xdr:pic>
    <xdr:clientData/>
  </xdr:twoCellAnchor>
  <xdr:twoCellAnchor editAs="oneCell">
    <xdr:from>
      <xdr:col>22</xdr:col>
      <xdr:colOff>599262</xdr:colOff>
      <xdr:row>27</xdr:row>
      <xdr:rowOff>47625</xdr:rowOff>
    </xdr:from>
    <xdr:to>
      <xdr:col>23</xdr:col>
      <xdr:colOff>555129</xdr:colOff>
      <xdr:row>30</xdr:row>
      <xdr:rowOff>91757</xdr:rowOff>
    </xdr:to>
    <xdr:pic>
      <xdr:nvPicPr>
        <xdr:cNvPr id="6" name="Graphic 37" descr="Gold bars with solid fill">
          <a:extLst>
            <a:ext uri="{FF2B5EF4-FFF2-40B4-BE49-F238E27FC236}">
              <a16:creationId xmlns:a16="http://schemas.microsoft.com/office/drawing/2014/main" id="{6E2BC383-B63B-4D72-AF29-65458DD7B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354237" y="6991350"/>
          <a:ext cx="792163" cy="808037"/>
        </a:xfrm>
        <a:prstGeom prst="rect">
          <a:avLst/>
        </a:prstGeom>
      </xdr:spPr>
    </xdr:pic>
    <xdr:clientData/>
  </xdr:twoCellAnchor>
  <xdr:twoCellAnchor>
    <xdr:from>
      <xdr:col>23</xdr:col>
      <xdr:colOff>171430</xdr:colOff>
      <xdr:row>9</xdr:row>
      <xdr:rowOff>179387</xdr:rowOff>
    </xdr:from>
    <xdr:to>
      <xdr:col>23</xdr:col>
      <xdr:colOff>171430</xdr:colOff>
      <xdr:row>11</xdr:row>
      <xdr:rowOff>133037</xdr:rowOff>
    </xdr:to>
    <xdr:cxnSp macro="">
      <xdr:nvCxnSpPr>
        <xdr:cNvPr id="7" name="Straight Arrow Connector 7">
          <a:extLst>
            <a:ext uri="{FF2B5EF4-FFF2-40B4-BE49-F238E27FC236}">
              <a16:creationId xmlns:a16="http://schemas.microsoft.com/office/drawing/2014/main" id="{0A14C441-588D-4DBC-BA8D-67E1EE298ADB}"/>
            </a:ext>
          </a:extLst>
        </xdr:cNvPr>
        <xdr:cNvCxnSpPr/>
      </xdr:nvCxnSpPr>
      <xdr:spPr>
        <a:xfrm>
          <a:off x="21755080" y="2493962"/>
          <a:ext cx="0" cy="46800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171043</xdr:colOff>
      <xdr:row>14</xdr:row>
      <xdr:rowOff>188900</xdr:rowOff>
    </xdr:from>
    <xdr:to>
      <xdr:col>23</xdr:col>
      <xdr:colOff>171818</xdr:colOff>
      <xdr:row>16</xdr:row>
      <xdr:rowOff>142550</xdr:rowOff>
    </xdr:to>
    <xdr:cxnSp macro="">
      <xdr:nvCxnSpPr>
        <xdr:cNvPr id="8" name="Straight Arrow Connector 8">
          <a:extLst>
            <a:ext uri="{FF2B5EF4-FFF2-40B4-BE49-F238E27FC236}">
              <a16:creationId xmlns:a16="http://schemas.microsoft.com/office/drawing/2014/main" id="{CFBAB7B5-D6EC-40B9-AA90-189CE247083A}"/>
            </a:ext>
          </a:extLst>
        </xdr:cNvPr>
        <xdr:cNvCxnSpPr/>
      </xdr:nvCxnSpPr>
      <xdr:spPr>
        <a:xfrm flipH="1">
          <a:off x="21754693" y="3789350"/>
          <a:ext cx="775" cy="46800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171042</xdr:colOff>
      <xdr:row>24</xdr:row>
      <xdr:rowOff>190500</xdr:rowOff>
    </xdr:from>
    <xdr:to>
      <xdr:col>23</xdr:col>
      <xdr:colOff>171818</xdr:colOff>
      <xdr:row>26</xdr:row>
      <xdr:rowOff>144150</xdr:rowOff>
    </xdr:to>
    <xdr:cxnSp macro="">
      <xdr:nvCxnSpPr>
        <xdr:cNvPr id="10" name="Straight Arrow Connector 15">
          <a:extLst>
            <a:ext uri="{FF2B5EF4-FFF2-40B4-BE49-F238E27FC236}">
              <a16:creationId xmlns:a16="http://schemas.microsoft.com/office/drawing/2014/main" id="{C8C2B77C-8AC6-4B9B-89A2-1347857B20CD}"/>
            </a:ext>
          </a:extLst>
        </xdr:cNvPr>
        <xdr:cNvCxnSpPr/>
      </xdr:nvCxnSpPr>
      <xdr:spPr>
        <a:xfrm flipH="1">
          <a:off x="21754692" y="6362700"/>
          <a:ext cx="776" cy="46800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686574</xdr:colOff>
      <xdr:row>13</xdr:row>
      <xdr:rowOff>142862</xdr:rowOff>
    </xdr:from>
    <xdr:to>
      <xdr:col>24</xdr:col>
      <xdr:colOff>762661</xdr:colOff>
      <xdr:row>13</xdr:row>
      <xdr:rowOff>142862</xdr:rowOff>
    </xdr:to>
    <xdr:cxnSp macro="">
      <xdr:nvCxnSpPr>
        <xdr:cNvPr id="11" name="Straight Arrow Connector 20">
          <a:extLst>
            <a:ext uri="{FF2B5EF4-FFF2-40B4-BE49-F238E27FC236}">
              <a16:creationId xmlns:a16="http://schemas.microsoft.com/office/drawing/2014/main" id="{AE0A49D2-ADFE-4803-A5A3-90077E9D8ACD}"/>
            </a:ext>
          </a:extLst>
        </xdr:cNvPr>
        <xdr:cNvCxnSpPr/>
      </xdr:nvCxnSpPr>
      <xdr:spPr>
        <a:xfrm>
          <a:off x="22270224" y="3486137"/>
          <a:ext cx="904762" cy="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686574</xdr:colOff>
      <xdr:row>18</xdr:row>
      <xdr:rowOff>192875</xdr:rowOff>
    </xdr:from>
    <xdr:to>
      <xdr:col>24</xdr:col>
      <xdr:colOff>762661</xdr:colOff>
      <xdr:row>18</xdr:row>
      <xdr:rowOff>192875</xdr:rowOff>
    </xdr:to>
    <xdr:cxnSp macro="">
      <xdr:nvCxnSpPr>
        <xdr:cNvPr id="12" name="Straight Arrow Connector 24">
          <a:extLst>
            <a:ext uri="{FF2B5EF4-FFF2-40B4-BE49-F238E27FC236}">
              <a16:creationId xmlns:a16="http://schemas.microsoft.com/office/drawing/2014/main" id="{24E73FA1-B2A9-41EC-9921-DD4946FAADC1}"/>
            </a:ext>
          </a:extLst>
        </xdr:cNvPr>
        <xdr:cNvCxnSpPr/>
      </xdr:nvCxnSpPr>
      <xdr:spPr>
        <a:xfrm>
          <a:off x="22270224" y="4822025"/>
          <a:ext cx="904762" cy="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686574</xdr:colOff>
      <xdr:row>23</xdr:row>
      <xdr:rowOff>134938</xdr:rowOff>
    </xdr:from>
    <xdr:to>
      <xdr:col>24</xdr:col>
      <xdr:colOff>762661</xdr:colOff>
      <xdr:row>23</xdr:row>
      <xdr:rowOff>134938</xdr:rowOff>
    </xdr:to>
    <xdr:cxnSp macro="">
      <xdr:nvCxnSpPr>
        <xdr:cNvPr id="13" name="Straight Arrow Connector 27">
          <a:extLst>
            <a:ext uri="{FF2B5EF4-FFF2-40B4-BE49-F238E27FC236}">
              <a16:creationId xmlns:a16="http://schemas.microsoft.com/office/drawing/2014/main" id="{5A9FCF41-4860-4CB5-AD08-DFA6B695BF62}"/>
            </a:ext>
          </a:extLst>
        </xdr:cNvPr>
        <xdr:cNvCxnSpPr/>
      </xdr:nvCxnSpPr>
      <xdr:spPr>
        <a:xfrm>
          <a:off x="22270224" y="6049963"/>
          <a:ext cx="904762" cy="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686574</xdr:colOff>
      <xdr:row>28</xdr:row>
      <xdr:rowOff>190500</xdr:rowOff>
    </xdr:from>
    <xdr:to>
      <xdr:col>24</xdr:col>
      <xdr:colOff>762661</xdr:colOff>
      <xdr:row>28</xdr:row>
      <xdr:rowOff>190500</xdr:rowOff>
    </xdr:to>
    <xdr:cxnSp macro="">
      <xdr:nvCxnSpPr>
        <xdr:cNvPr id="14" name="Straight Arrow Connector 30">
          <a:extLst>
            <a:ext uri="{FF2B5EF4-FFF2-40B4-BE49-F238E27FC236}">
              <a16:creationId xmlns:a16="http://schemas.microsoft.com/office/drawing/2014/main" id="{C2A64E38-5188-4104-A15D-3DAFFB4AA9BB}"/>
            </a:ext>
          </a:extLst>
        </xdr:cNvPr>
        <xdr:cNvCxnSpPr/>
      </xdr:nvCxnSpPr>
      <xdr:spPr>
        <a:xfrm>
          <a:off x="22270224" y="7391400"/>
          <a:ext cx="904762" cy="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171430</xdr:colOff>
      <xdr:row>30</xdr:row>
      <xdr:rowOff>36511</xdr:rowOff>
    </xdr:from>
    <xdr:to>
      <xdr:col>23</xdr:col>
      <xdr:colOff>171430</xdr:colOff>
      <xdr:row>31</xdr:row>
      <xdr:rowOff>247336</xdr:rowOff>
    </xdr:to>
    <xdr:cxnSp macro="">
      <xdr:nvCxnSpPr>
        <xdr:cNvPr id="15" name="Straight Arrow Connector 34">
          <a:extLst>
            <a:ext uri="{FF2B5EF4-FFF2-40B4-BE49-F238E27FC236}">
              <a16:creationId xmlns:a16="http://schemas.microsoft.com/office/drawing/2014/main" id="{035D8D3B-15D9-44F7-A45F-665A6632C3AD}"/>
            </a:ext>
          </a:extLst>
        </xdr:cNvPr>
        <xdr:cNvCxnSpPr/>
      </xdr:nvCxnSpPr>
      <xdr:spPr>
        <a:xfrm flipH="1">
          <a:off x="21755080" y="7751761"/>
          <a:ext cx="0" cy="46800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686574</xdr:colOff>
      <xdr:row>33</xdr:row>
      <xdr:rowOff>219075</xdr:rowOff>
    </xdr:from>
    <xdr:to>
      <xdr:col>24</xdr:col>
      <xdr:colOff>762661</xdr:colOff>
      <xdr:row>33</xdr:row>
      <xdr:rowOff>219075</xdr:rowOff>
    </xdr:to>
    <xdr:cxnSp macro="">
      <xdr:nvCxnSpPr>
        <xdr:cNvPr id="16" name="Straight Arrow Connector 30">
          <a:extLst>
            <a:ext uri="{FF2B5EF4-FFF2-40B4-BE49-F238E27FC236}">
              <a16:creationId xmlns:a16="http://schemas.microsoft.com/office/drawing/2014/main" id="{2698DDD9-18E3-4E25-9844-A2AD3D2142D5}"/>
            </a:ext>
          </a:extLst>
        </xdr:cNvPr>
        <xdr:cNvCxnSpPr/>
      </xdr:nvCxnSpPr>
      <xdr:spPr>
        <a:xfrm flipV="1">
          <a:off x="22270224" y="8705850"/>
          <a:ext cx="904762" cy="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171430</xdr:colOff>
      <xdr:row>35</xdr:row>
      <xdr:rowOff>134938</xdr:rowOff>
    </xdr:from>
    <xdr:to>
      <xdr:col>23</xdr:col>
      <xdr:colOff>171430</xdr:colOff>
      <xdr:row>37</xdr:row>
      <xdr:rowOff>93350</xdr:rowOff>
    </xdr:to>
    <xdr:cxnSp macro="">
      <xdr:nvCxnSpPr>
        <xdr:cNvPr id="17" name="Straight Arrow Connector 34">
          <a:extLst>
            <a:ext uri="{FF2B5EF4-FFF2-40B4-BE49-F238E27FC236}">
              <a16:creationId xmlns:a16="http://schemas.microsoft.com/office/drawing/2014/main" id="{024C306B-6040-40F0-90AE-5850E808318F}"/>
            </a:ext>
          </a:extLst>
        </xdr:cNvPr>
        <xdr:cNvCxnSpPr/>
      </xdr:nvCxnSpPr>
      <xdr:spPr>
        <a:xfrm flipH="1">
          <a:off x="21755080" y="9136063"/>
          <a:ext cx="0" cy="472762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22</xdr:col>
      <xdr:colOff>674544</xdr:colOff>
      <xdr:row>32</xdr:row>
      <xdr:rowOff>192850</xdr:rowOff>
    </xdr:from>
    <xdr:to>
      <xdr:col>23</xdr:col>
      <xdr:colOff>479847</xdr:colOff>
      <xdr:row>35</xdr:row>
      <xdr:rowOff>19049</xdr:rowOff>
    </xdr:to>
    <xdr:pic>
      <xdr:nvPicPr>
        <xdr:cNvPr id="18" name="Imagem 17" descr="Government Svg Png Icon Free Download (#554786) - OnlineWebFonts.COM">
          <a:extLst>
            <a:ext uri="{FF2B5EF4-FFF2-40B4-BE49-F238E27FC236}">
              <a16:creationId xmlns:a16="http://schemas.microsoft.com/office/drawing/2014/main" id="{7C3D10D6-089C-4A9D-81D0-022183A619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clrChange>
            <a:clrFrom>
              <a:srgbClr val="FEFEFE"/>
            </a:clrFrom>
            <a:clrTo>
              <a:srgbClr val="FEFEFE">
                <a:alpha val="0"/>
              </a:srgbClr>
            </a:clrTo>
          </a:clrChange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29519" y="8422450"/>
          <a:ext cx="641599" cy="6072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583317</xdr:colOff>
      <xdr:row>26</xdr:row>
      <xdr:rowOff>0</xdr:rowOff>
    </xdr:from>
    <xdr:to>
      <xdr:col>5</xdr:col>
      <xdr:colOff>587804</xdr:colOff>
      <xdr:row>26</xdr:row>
      <xdr:rowOff>15600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9" name="Tinta 18">
              <a:extLst>
                <a:ext uri="{FF2B5EF4-FFF2-40B4-BE49-F238E27FC236}">
                  <a16:creationId xmlns:a16="http://schemas.microsoft.com/office/drawing/2014/main" id="{59D5B5BB-CC44-CD14-C42F-6716531D5A98}"/>
                </a:ext>
              </a:extLst>
            </xdr14:cNvPr>
            <xdr14:cNvContentPartPr/>
          </xdr14:nvContentPartPr>
          <xdr14:nvPr macro=""/>
          <xdr14:xfrm>
            <a:off x="4059942" y="4914900"/>
            <a:ext cx="8297" cy="9885"/>
          </xdr14:xfrm>
        </xdr:contentPart>
      </mc:Choice>
      <mc:Fallback xmlns="">
        <xdr:pic>
          <xdr:nvPicPr>
            <xdr:cNvPr id="19" name="Tinta 18">
              <a:extLst>
                <a:ext uri="{FF2B5EF4-FFF2-40B4-BE49-F238E27FC236}">
                  <a16:creationId xmlns:a16="http://schemas.microsoft.com/office/drawing/2014/main" id="{59D5B5BB-CC44-CD14-C42F-6716531D5A98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3569760" y="4531053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23</xdr:col>
      <xdr:colOff>171043</xdr:colOff>
      <xdr:row>20</xdr:row>
      <xdr:rowOff>65075</xdr:rowOff>
    </xdr:from>
    <xdr:to>
      <xdr:col>23</xdr:col>
      <xdr:colOff>171818</xdr:colOff>
      <xdr:row>22</xdr:row>
      <xdr:rowOff>18725</xdr:rowOff>
    </xdr:to>
    <xdr:cxnSp macro="">
      <xdr:nvCxnSpPr>
        <xdr:cNvPr id="21" name="Straight Arrow Connector 8">
          <a:extLst>
            <a:ext uri="{FF2B5EF4-FFF2-40B4-BE49-F238E27FC236}">
              <a16:creationId xmlns:a16="http://schemas.microsoft.com/office/drawing/2014/main" id="{E0DEC644-D7A0-4817-8361-C6B4B1F2DE38}"/>
            </a:ext>
          </a:extLst>
        </xdr:cNvPr>
        <xdr:cNvCxnSpPr/>
      </xdr:nvCxnSpPr>
      <xdr:spPr>
        <a:xfrm flipH="1">
          <a:off x="21754693" y="5208575"/>
          <a:ext cx="775" cy="46800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583317</xdr:colOff>
      <xdr:row>26</xdr:row>
      <xdr:rowOff>0</xdr:rowOff>
    </xdr:from>
    <xdr:ext cx="677" cy="1179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9" name="Tinta 8">
              <a:extLst>
                <a:ext uri="{FF2B5EF4-FFF2-40B4-BE49-F238E27FC236}">
                  <a16:creationId xmlns:a16="http://schemas.microsoft.com/office/drawing/2014/main" id="{EE2B8FC8-4285-4390-BC8B-BFF526BDE1DC}"/>
                </a:ext>
              </a:extLst>
            </xdr14:cNvPr>
            <xdr14:cNvContentPartPr/>
          </xdr14:nvContentPartPr>
          <xdr14:nvPr macro=""/>
          <xdr14:xfrm>
            <a:off x="4059942" y="4914900"/>
            <a:ext cx="8297" cy="9885"/>
          </xdr14:xfrm>
        </xdr:contentPart>
      </mc:Choice>
      <mc:Fallback xmlns="">
        <xdr:pic>
          <xdr:nvPicPr>
            <xdr:cNvPr id="19" name="Tinta 18">
              <a:extLst>
                <a:ext uri="{FF2B5EF4-FFF2-40B4-BE49-F238E27FC236}">
                  <a16:creationId xmlns:a16="http://schemas.microsoft.com/office/drawing/2014/main" id="{59D5B5BB-CC44-CD14-C42F-6716531D5A98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3569760" y="4531053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112850</xdr:colOff>
      <xdr:row>14</xdr:row>
      <xdr:rowOff>183444</xdr:rowOff>
    </xdr:from>
    <xdr:to>
      <xdr:col>9</xdr:col>
      <xdr:colOff>697300</xdr:colOff>
      <xdr:row>22</xdr:row>
      <xdr:rowOff>183445</xdr:rowOff>
    </xdr:to>
    <xdr:pic>
      <xdr:nvPicPr>
        <xdr:cNvPr id="2" name="Imagem 1" descr="Tabela&#10;&#10;O conteúdo gerado por IA pode estar incorreto.">
          <a:extLst>
            <a:ext uri="{FF2B5EF4-FFF2-40B4-BE49-F238E27FC236}">
              <a16:creationId xmlns:a16="http://schemas.microsoft.com/office/drawing/2014/main" id="{C62A8B7D-7BE2-31F3-E463-18EF9D151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1517" y="3026833"/>
          <a:ext cx="2941006" cy="1580445"/>
        </a:xfrm>
        <a:prstGeom prst="rect">
          <a:avLst/>
        </a:prstGeom>
        <a:noFill/>
      </xdr:spPr>
    </xdr:pic>
    <xdr:clientData/>
  </xdr:twoCellAnchor>
  <xdr:oneCellAnchor>
    <xdr:from>
      <xdr:col>7</xdr:col>
      <xdr:colOff>823383</xdr:colOff>
      <xdr:row>11</xdr:row>
      <xdr:rowOff>89605</xdr:rowOff>
    </xdr:from>
    <xdr:ext cx="1780116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B6FB2099-A8BB-5280-481E-B15D7180B3E5}"/>
                </a:ext>
              </a:extLst>
            </xdr:cNvPr>
            <xdr:cNvSpPr txBox="1"/>
          </xdr:nvSpPr>
          <xdr:spPr>
            <a:xfrm>
              <a:off x="8782050" y="2340327"/>
              <a:ext cx="1780116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400" b="0" i="1">
                        <a:latin typeface="Cambria Math" panose="02040503050406030204" pitchFamily="18" charset="0"/>
                      </a:rPr>
                      <m:t>𝑅𝑒𝑐</m:t>
                    </m:r>
                    <m:r>
                      <a:rPr lang="pt-BR" sz="14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14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unc>
                      <m:funcPr>
                        <m:ctrlPr>
                          <a:rPr lang="pt-BR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pt-BR" sz="14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ln</m:t>
                        </m:r>
                      </m:fName>
                      <m:e>
                        <m:r>
                          <a:rPr lang="pt-BR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𝐶𝑢</m:t>
                        </m:r>
                      </m:e>
                    </m:func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B6FB2099-A8BB-5280-481E-B15D7180B3E5}"/>
                </a:ext>
              </a:extLst>
            </xdr:cNvPr>
            <xdr:cNvSpPr txBox="1"/>
          </xdr:nvSpPr>
          <xdr:spPr>
            <a:xfrm>
              <a:off x="8782050" y="2340327"/>
              <a:ext cx="1780116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1400" b="0" i="0">
                  <a:latin typeface="Cambria Math" panose="02040503050406030204" pitchFamily="18" charset="0"/>
                </a:rPr>
                <a:t>𝑅𝑒𝑐=𝑎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∙ln⁡𝐶𝑢+𝑏</a:t>
              </a:r>
              <a:endParaRPr lang="pt-BR" sz="1400"/>
            </a:p>
          </xdr:txBody>
        </xdr:sp>
      </mc:Fallback>
    </mc:AlternateContent>
    <xdr:clientData/>
  </xdr:one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10T18:51:16.07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48,'0'0'0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4-24T20:02:51.29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48,'0'0'0</inkml:trace>
</inkml:ink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05650-FCF4-40C1-8517-404B2F67FEA3}">
  <sheetPr>
    <tabColor theme="0" tint="-0.499984740745262"/>
  </sheetPr>
  <dimension ref="A1:GU1247"/>
  <sheetViews>
    <sheetView tabSelected="1" zoomScale="70" zoomScaleNormal="70" workbookViewId="0">
      <pane ySplit="3" topLeftCell="A16" activePane="bottomLeft" state="frozen"/>
      <selection pane="bottomLeft" activeCell="H17" sqref="H17"/>
    </sheetView>
  </sheetViews>
  <sheetFormatPr defaultColWidth="10.83203125" defaultRowHeight="20.149999999999999" customHeight="1" x14ac:dyDescent="0.35"/>
  <cols>
    <col min="1" max="1" width="5.08203125" style="41" customWidth="1"/>
    <col min="2" max="2" width="8.6640625" style="1" customWidth="1"/>
    <col min="3" max="3" width="10.58203125" style="1" customWidth="1"/>
    <col min="4" max="4" width="5.58203125" style="1" customWidth="1"/>
    <col min="5" max="5" width="19.08203125" style="1" customWidth="1"/>
    <col min="6" max="6" width="22.25" style="1" bestFit="1" customWidth="1"/>
    <col min="7" max="7" width="15.5" style="1" customWidth="1"/>
    <col min="8" max="8" width="5.58203125" style="1" customWidth="1"/>
    <col min="9" max="9" width="8.6640625" style="1" customWidth="1"/>
    <col min="10" max="10" width="10.58203125" style="1" customWidth="1"/>
    <col min="11" max="11" width="5.58203125" style="1" customWidth="1"/>
    <col min="12" max="12" width="18.58203125" style="1" customWidth="1"/>
    <col min="13" max="14" width="15.5" style="1" customWidth="1"/>
    <col min="15" max="15" width="5.58203125" style="1" customWidth="1"/>
    <col min="16" max="16" width="8.6640625" style="1" customWidth="1"/>
    <col min="17" max="17" width="26.4140625" style="1" bestFit="1" customWidth="1"/>
    <col min="18" max="19" width="15.5" style="1" customWidth="1"/>
    <col min="20" max="21" width="8.6640625" style="1" customWidth="1"/>
    <col min="22" max="22" width="25.6640625" style="1" customWidth="1"/>
    <col min="23" max="25" width="10.83203125" style="1"/>
    <col min="26" max="26" width="20.58203125" style="1" customWidth="1"/>
    <col min="27" max="27" width="10.58203125" style="1" customWidth="1"/>
    <col min="28" max="28" width="13.58203125" style="1" bestFit="1" customWidth="1"/>
    <col min="29" max="203" width="10.83203125" style="41"/>
    <col min="204" max="16384" width="10.83203125" style="1"/>
  </cols>
  <sheetData>
    <row r="1" spans="2:41" s="41" customFormat="1" ht="20.149999999999999" customHeight="1" thickBot="1" x14ac:dyDescent="0.4"/>
    <row r="2" spans="2:41" ht="20.149999999999999" customHeight="1" thickTop="1" x14ac:dyDescent="0.35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4"/>
    </row>
    <row r="3" spans="2:41" ht="20.149999999999999" customHeight="1" thickBot="1" x14ac:dyDescent="0.4">
      <c r="B3" s="35"/>
      <c r="C3" s="155" t="s">
        <v>0</v>
      </c>
      <c r="D3" s="155"/>
      <c r="E3" s="155"/>
      <c r="F3" s="155"/>
      <c r="G3" s="155"/>
      <c r="H3" s="155"/>
      <c r="J3" s="155" t="s">
        <v>1</v>
      </c>
      <c r="K3" s="155"/>
      <c r="L3" s="155"/>
      <c r="M3" s="155"/>
      <c r="N3" s="155"/>
      <c r="O3" s="155"/>
      <c r="Q3" s="155" t="s">
        <v>127</v>
      </c>
      <c r="R3" s="155"/>
      <c r="S3" s="155"/>
      <c r="T3" s="166"/>
      <c r="V3" s="155" t="s">
        <v>2</v>
      </c>
      <c r="W3" s="155"/>
      <c r="X3" s="155"/>
      <c r="Y3" s="155"/>
      <c r="Z3" s="155"/>
      <c r="AA3" s="155"/>
      <c r="AB3" s="36"/>
    </row>
    <row r="4" spans="2:41" ht="20.149999999999999" customHeight="1" x14ac:dyDescent="0.35">
      <c r="B4" s="35"/>
      <c r="C4" s="81"/>
      <c r="D4" s="81"/>
      <c r="E4" s="81"/>
      <c r="F4" s="81"/>
      <c r="G4" s="81"/>
      <c r="H4" s="81"/>
      <c r="AB4" s="36"/>
    </row>
    <row r="5" spans="2:41" ht="20.149999999999999" customHeight="1" x14ac:dyDescent="0.35">
      <c r="B5" s="35"/>
      <c r="C5" s="159" t="s">
        <v>93</v>
      </c>
      <c r="D5" s="160"/>
      <c r="E5" s="102" t="s">
        <v>19</v>
      </c>
      <c r="F5" s="103" t="s">
        <v>57</v>
      </c>
      <c r="G5" s="81"/>
      <c r="H5" s="81"/>
      <c r="J5" s="163" t="s">
        <v>115</v>
      </c>
      <c r="K5" s="3"/>
      <c r="L5" s="3"/>
      <c r="M5" s="3"/>
      <c r="N5" s="3"/>
      <c r="O5" s="5"/>
      <c r="Q5" s="157" t="s">
        <v>120</v>
      </c>
      <c r="R5" s="158"/>
      <c r="S5" s="82" t="s">
        <v>121</v>
      </c>
      <c r="Z5" s="2" t="s">
        <v>4</v>
      </c>
      <c r="AA5" s="72"/>
      <c r="AB5" s="36"/>
    </row>
    <row r="6" spans="2:41" ht="20.149999999999999" customHeight="1" x14ac:dyDescent="0.35">
      <c r="B6" s="35"/>
      <c r="C6" s="161"/>
      <c r="D6" s="162"/>
      <c r="E6" s="104" t="s">
        <v>65</v>
      </c>
      <c r="F6" s="105" t="s">
        <v>83</v>
      </c>
      <c r="G6" s="81"/>
      <c r="H6" s="81"/>
      <c r="J6" s="164"/>
      <c r="K6" s="10"/>
      <c r="L6" s="7" t="s">
        <v>5</v>
      </c>
      <c r="M6" s="7" t="s">
        <v>8</v>
      </c>
      <c r="N6" s="7" t="s">
        <v>7</v>
      </c>
      <c r="O6" s="8"/>
      <c r="Z6" s="6" t="s">
        <v>9</v>
      </c>
      <c r="AA6" s="47">
        <v>0.14000000000000001</v>
      </c>
      <c r="AB6" s="36"/>
    </row>
    <row r="7" spans="2:41" ht="20.149999999999999" customHeight="1" x14ac:dyDescent="0.35">
      <c r="B7" s="35"/>
      <c r="C7" s="81"/>
      <c r="D7" s="81"/>
      <c r="E7" s="81"/>
      <c r="F7" s="81"/>
      <c r="G7" s="81"/>
      <c r="H7" s="81"/>
      <c r="J7" s="164"/>
      <c r="K7" s="10"/>
      <c r="L7" s="9"/>
      <c r="M7" s="9"/>
      <c r="N7" s="9"/>
      <c r="O7" s="8"/>
      <c r="Q7" s="58" t="s">
        <v>0</v>
      </c>
      <c r="R7" s="58"/>
      <c r="S7" s="58"/>
      <c r="Z7" s="73" t="s">
        <v>10</v>
      </c>
      <c r="AA7" s="48">
        <v>0.98</v>
      </c>
      <c r="AB7" s="36"/>
    </row>
    <row r="8" spans="2:41" ht="20.149999999999999" customHeight="1" x14ac:dyDescent="0.35">
      <c r="B8" s="35"/>
      <c r="C8" s="163" t="s">
        <v>3</v>
      </c>
      <c r="D8" s="3"/>
      <c r="E8" s="3"/>
      <c r="F8" s="3"/>
      <c r="G8" s="3"/>
      <c r="H8" s="5"/>
      <c r="J8" s="164"/>
      <c r="K8" s="10"/>
      <c r="L8" s="9" t="s">
        <v>50</v>
      </c>
      <c r="M8" s="132">
        <f>MIN(F32%*'Price and Costs'!G21,F32%*'Price and Costs'!G21)*F40-'Price and Costs'!H21-('Price and Costs'!I21/100)*F32%*(1-'Price and Costs'!F21)*2204.62-'Price and Costs'!J21</f>
        <v>2824.6780268110506</v>
      </c>
      <c r="N8" s="16" t="s">
        <v>114</v>
      </c>
      <c r="O8" s="8"/>
      <c r="P8" s="24"/>
      <c r="V8" s="26" t="s">
        <v>12</v>
      </c>
      <c r="AB8" s="36"/>
    </row>
    <row r="9" spans="2:41" ht="20.149999999999999" customHeight="1" x14ac:dyDescent="0.35">
      <c r="B9" s="35"/>
      <c r="C9" s="164"/>
      <c r="D9" s="10"/>
      <c r="E9" s="7" t="s">
        <v>5</v>
      </c>
      <c r="F9" s="7" t="s">
        <v>6</v>
      </c>
      <c r="G9" s="7" t="s">
        <v>7</v>
      </c>
      <c r="H9" s="8"/>
      <c r="J9" s="164"/>
      <c r="K9" s="10"/>
      <c r="L9" s="9" t="s">
        <v>56</v>
      </c>
      <c r="M9" s="132">
        <f>F33*'Price and Costs'!G22*(NSR!F41-'Price and Costs'!I22)</f>
        <v>244.75879570259926</v>
      </c>
      <c r="N9" s="16" t="s">
        <v>114</v>
      </c>
      <c r="O9" s="8"/>
      <c r="P9" s="24"/>
      <c r="Q9" s="18" t="s">
        <v>6</v>
      </c>
      <c r="R9" s="4" t="s">
        <v>43</v>
      </c>
      <c r="S9" s="19" t="s">
        <v>7</v>
      </c>
      <c r="V9" s="71">
        <f>(V14/(1-AA6))/AA7</f>
        <v>175.61179780912582</v>
      </c>
      <c r="Z9" s="27"/>
      <c r="AB9" s="36"/>
    </row>
    <row r="10" spans="2:41" ht="20.149999999999999" customHeight="1" x14ac:dyDescent="0.35">
      <c r="B10" s="35"/>
      <c r="C10" s="164"/>
      <c r="D10" s="10"/>
      <c r="E10" s="9"/>
      <c r="F10" s="9"/>
      <c r="G10" s="9"/>
      <c r="H10" s="8"/>
      <c r="J10" s="164"/>
      <c r="K10" s="10"/>
      <c r="L10" s="9" t="s">
        <v>105</v>
      </c>
      <c r="M10" s="132">
        <f>F34*'Price and Costs'!G23*(NSR!F42-'Price and Costs'!I23)</f>
        <v>29.648600979402559</v>
      </c>
      <c r="N10" s="16" t="s">
        <v>114</v>
      </c>
      <c r="O10" s="8"/>
      <c r="P10" s="24"/>
      <c r="Q10" s="20"/>
      <c r="R10" s="9"/>
      <c r="S10" s="21"/>
      <c r="AB10" s="36"/>
    </row>
    <row r="11" spans="2:41" ht="20.149999999999999" customHeight="1" x14ac:dyDescent="0.35">
      <c r="B11" s="35"/>
      <c r="C11" s="164"/>
      <c r="D11" s="10"/>
      <c r="E11" s="9" t="s">
        <v>50</v>
      </c>
      <c r="F11" s="57">
        <v>1.4</v>
      </c>
      <c r="G11" s="9" t="s">
        <v>11</v>
      </c>
      <c r="H11" s="8"/>
      <c r="J11" s="164"/>
      <c r="K11" s="10"/>
      <c r="L11" s="9" t="s">
        <v>115</v>
      </c>
      <c r="M11" s="132">
        <f>SUM(M8:M10)</f>
        <v>3099.0854234930525</v>
      </c>
      <c r="N11" s="16" t="s">
        <v>114</v>
      </c>
      <c r="O11" s="8"/>
      <c r="P11" s="24"/>
      <c r="Q11" s="20" t="s">
        <v>13</v>
      </c>
      <c r="R11" s="145">
        <v>20000</v>
      </c>
      <c r="S11" s="21" t="s">
        <v>49</v>
      </c>
      <c r="AB11" s="36"/>
    </row>
    <row r="12" spans="2:41" ht="20.149999999999999" customHeight="1" x14ac:dyDescent="0.35">
      <c r="B12" s="35"/>
      <c r="C12" s="164"/>
      <c r="D12" s="10"/>
      <c r="E12" s="9" t="s">
        <v>51</v>
      </c>
      <c r="F12" s="57">
        <v>0.23</v>
      </c>
      <c r="G12" s="9" t="s">
        <v>52</v>
      </c>
      <c r="H12" s="8"/>
      <c r="J12" s="165"/>
      <c r="K12" s="12"/>
      <c r="L12" s="59"/>
      <c r="M12" s="60"/>
      <c r="N12" s="60"/>
      <c r="O12" s="13"/>
      <c r="P12" s="24"/>
      <c r="Q12" s="20" t="str">
        <f>IF(S5="Open Pit","SR","Development")</f>
        <v>Development</v>
      </c>
      <c r="R12" s="57">
        <v>50</v>
      </c>
      <c r="S12" s="21" t="str">
        <f>IF(Q12="SR","#","meters")</f>
        <v>meters</v>
      </c>
      <c r="V12" s="27"/>
      <c r="AB12" s="36"/>
    </row>
    <row r="13" spans="2:41" ht="20.149999999999999" customHeight="1" thickBot="1" x14ac:dyDescent="0.4">
      <c r="B13" s="35"/>
      <c r="C13" s="164"/>
      <c r="D13" s="10"/>
      <c r="E13" s="9" t="s">
        <v>97</v>
      </c>
      <c r="F13" s="57">
        <v>2.33</v>
      </c>
      <c r="G13" s="9" t="s">
        <v>52</v>
      </c>
      <c r="H13" s="8"/>
      <c r="P13" s="24"/>
      <c r="Q13" s="20" t="s">
        <v>14</v>
      </c>
      <c r="R13" s="57">
        <v>28</v>
      </c>
      <c r="S13" s="21" t="s">
        <v>122</v>
      </c>
      <c r="V13" s="26" t="s">
        <v>19</v>
      </c>
      <c r="W13" s="14"/>
      <c r="X13" s="14"/>
      <c r="Y13" s="14"/>
      <c r="Z13" s="156" t="s">
        <v>18</v>
      </c>
      <c r="AA13" s="156"/>
      <c r="AB13" s="37"/>
    </row>
    <row r="14" spans="2:41" ht="20.149999999999999" customHeight="1" x14ac:dyDescent="0.35">
      <c r="B14" s="35"/>
      <c r="C14" s="165"/>
      <c r="D14" s="11"/>
      <c r="E14" s="7"/>
      <c r="F14" s="61"/>
      <c r="G14" s="7"/>
      <c r="H14" s="13"/>
      <c r="J14" s="170" t="s">
        <v>20</v>
      </c>
      <c r="K14" s="109"/>
      <c r="L14" s="109"/>
      <c r="M14" s="109"/>
      <c r="N14" s="109"/>
      <c r="O14" s="110"/>
      <c r="P14" s="24"/>
      <c r="Q14" s="20" t="str">
        <f>IF(Q12="SR","Waste Cost","Development Cost")</f>
        <v>Development Cost</v>
      </c>
      <c r="R14" s="57">
        <v>2257</v>
      </c>
      <c r="S14" s="21" t="str">
        <f>IF(Q12="SR","$/t","$/meter")</f>
        <v>$/meter</v>
      </c>
      <c r="V14" s="70">
        <f>F11*F40%+F12/31.1035*F41+F13/31.1035*F42</f>
        <v>148.00562319353125</v>
      </c>
      <c r="W14" s="14"/>
      <c r="X14" s="14"/>
      <c r="Y14" s="14"/>
      <c r="Z14" s="150">
        <f>V9-V14</f>
        <v>27.606174615594568</v>
      </c>
      <c r="AA14" s="151"/>
      <c r="AB14" s="37"/>
    </row>
    <row r="15" spans="2:41" ht="20.149999999999999" customHeight="1" x14ac:dyDescent="0.35">
      <c r="B15" s="35"/>
      <c r="J15" s="171"/>
      <c r="K15" s="10"/>
      <c r="L15" s="7" t="s">
        <v>5</v>
      </c>
      <c r="M15" s="7" t="s">
        <v>8</v>
      </c>
      <c r="N15" s="7" t="s">
        <v>7</v>
      </c>
      <c r="O15" s="111"/>
      <c r="Q15" s="20" t="s">
        <v>119</v>
      </c>
      <c r="R15" s="57">
        <v>13.57</v>
      </c>
      <c r="S15" s="21" t="s">
        <v>122</v>
      </c>
      <c r="W15" s="14"/>
      <c r="X15" s="14"/>
      <c r="Y15" s="14"/>
      <c r="Z15" s="152">
        <f>Z14/V9</f>
        <v>0.15719999999999995</v>
      </c>
      <c r="AA15" s="153"/>
      <c r="AB15" s="37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</row>
    <row r="16" spans="2:41" ht="20.149999999999999" customHeight="1" x14ac:dyDescent="0.35">
      <c r="B16" s="35"/>
      <c r="C16" s="179" t="s">
        <v>101</v>
      </c>
      <c r="D16" s="180"/>
      <c r="E16" s="181"/>
      <c r="F16" s="142" t="s">
        <v>125</v>
      </c>
      <c r="J16" s="171"/>
      <c r="K16" s="10"/>
      <c r="L16" s="9"/>
      <c r="M16" s="9"/>
      <c r="N16" s="9"/>
      <c r="O16" s="111"/>
      <c r="P16" s="24"/>
      <c r="Q16" s="20" t="s">
        <v>15</v>
      </c>
      <c r="R16" s="57">
        <v>7.4</v>
      </c>
      <c r="S16" s="21" t="s">
        <v>122</v>
      </c>
      <c r="V16" s="25"/>
      <c r="W16" s="25"/>
      <c r="X16" s="25"/>
      <c r="Y16" s="25"/>
      <c r="Z16" s="25"/>
      <c r="AA16" s="25"/>
      <c r="AB16" s="38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</row>
    <row r="17" spans="2:42" ht="20.149999999999999" customHeight="1" x14ac:dyDescent="0.35">
      <c r="B17" s="35"/>
      <c r="C17" s="173" t="s">
        <v>102</v>
      </c>
      <c r="D17" s="174"/>
      <c r="E17" s="175"/>
      <c r="F17" s="144" t="s">
        <v>104</v>
      </c>
      <c r="J17" s="171"/>
      <c r="K17" s="10"/>
      <c r="L17" s="9" t="s">
        <v>50</v>
      </c>
      <c r="M17" s="16">
        <f>IFERROR(F11%*F24%*(M8/F32%),"")*(1-'Price and Costs'!$G$29%-'Price and Costs'!$G$30%)</f>
        <v>108.2071272593294</v>
      </c>
      <c r="N17" s="16" t="s">
        <v>122</v>
      </c>
      <c r="O17" s="111"/>
      <c r="Q17" s="22" t="s">
        <v>17</v>
      </c>
      <c r="R17" s="104"/>
      <c r="S17" s="23" t="s">
        <v>122</v>
      </c>
      <c r="V17" s="25"/>
      <c r="W17" s="25"/>
      <c r="X17" s="25"/>
      <c r="Y17" s="25"/>
      <c r="Z17" s="25"/>
      <c r="AA17" s="25"/>
      <c r="AB17" s="38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</row>
    <row r="18" spans="2:42" ht="20.149999999999999" customHeight="1" x14ac:dyDescent="0.35">
      <c r="B18" s="35"/>
      <c r="C18" s="173" t="s">
        <v>106</v>
      </c>
      <c r="D18" s="174"/>
      <c r="E18" s="175"/>
      <c r="F18" s="144" t="s">
        <v>104</v>
      </c>
      <c r="J18" s="171"/>
      <c r="K18" s="10"/>
      <c r="L18" s="9" t="s">
        <v>56</v>
      </c>
      <c r="M18" s="16">
        <f>IFERROR((F12/31.1035*F25%*(M9/F33)),0)*(1-'Price and Costs'!$G$29%-'Price and Costs'!$G$30%)</f>
        <v>9.3761646116996502</v>
      </c>
      <c r="N18" s="16" t="s">
        <v>122</v>
      </c>
      <c r="O18" s="111"/>
      <c r="V18" s="80" t="s">
        <v>60</v>
      </c>
      <c r="W18" s="25"/>
      <c r="X18" s="25"/>
      <c r="Y18" s="25"/>
      <c r="Z18" s="154" t="s">
        <v>16</v>
      </c>
      <c r="AA18" s="154"/>
      <c r="AB18" s="38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4"/>
    </row>
    <row r="19" spans="2:42" ht="20.149999999999999" customHeight="1" x14ac:dyDescent="0.35">
      <c r="B19" s="35"/>
      <c r="C19" s="176" t="s">
        <v>23</v>
      </c>
      <c r="D19" s="177"/>
      <c r="E19" s="178"/>
      <c r="F19" s="143" t="s">
        <v>107</v>
      </c>
      <c r="J19" s="171"/>
      <c r="K19" s="10"/>
      <c r="L19" s="9" t="s">
        <v>98</v>
      </c>
      <c r="M19" s="16">
        <f>IFERROR((F13/31.1035*F26%*(M10/F34)),0)*(1-'Price and Costs'!$G$29%-'Price and Costs'!$G$30%)</f>
        <v>1.1357719034835307</v>
      </c>
      <c r="N19" s="16" t="s">
        <v>122</v>
      </c>
      <c r="O19" s="111"/>
      <c r="P19" s="64"/>
      <c r="Q19" s="58" t="s">
        <v>21</v>
      </c>
      <c r="R19" s="58"/>
      <c r="S19" s="58"/>
      <c r="V19" s="70">
        <f>V14-Z19</f>
        <v>131.75796872882432</v>
      </c>
      <c r="W19" s="25"/>
      <c r="X19" s="25"/>
      <c r="Y19" s="25"/>
      <c r="Z19" s="150">
        <f>F11%*F40*(1-F24%)+F12/31.1035*F41*(1-F25%)+F13/31.1035*F42*(1-F26%)</f>
        <v>16.24765446470694</v>
      </c>
      <c r="AA19" s="151"/>
      <c r="AB19" s="38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5"/>
    </row>
    <row r="20" spans="2:42" ht="20.149999999999999" customHeight="1" x14ac:dyDescent="0.35">
      <c r="B20" s="35"/>
      <c r="J20" s="171"/>
      <c r="K20" s="10"/>
      <c r="L20" s="9"/>
      <c r="M20" s="16"/>
      <c r="N20" s="112"/>
      <c r="O20" s="111"/>
      <c r="P20" s="64"/>
      <c r="V20" s="25"/>
      <c r="W20" s="25"/>
      <c r="X20" s="25"/>
      <c r="Y20" s="25"/>
      <c r="Z20" s="152">
        <f>Z19/V9</f>
        <v>9.2520290022693547E-2</v>
      </c>
      <c r="AA20" s="153"/>
      <c r="AB20" s="38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5"/>
    </row>
    <row r="21" spans="2:42" ht="20.149999999999999" customHeight="1" thickBot="1" x14ac:dyDescent="0.4">
      <c r="B21" s="35"/>
      <c r="C21" s="163" t="s">
        <v>16</v>
      </c>
      <c r="D21" s="2"/>
      <c r="E21" s="3"/>
      <c r="F21" s="3"/>
      <c r="G21" s="3"/>
      <c r="H21" s="5"/>
      <c r="J21" s="171"/>
      <c r="K21" s="10"/>
      <c r="L21" s="15" t="s">
        <v>24</v>
      </c>
      <c r="M21" s="17">
        <f>SUM(M17:M19)</f>
        <v>118.71906377451258</v>
      </c>
      <c r="N21" s="17" t="s">
        <v>99</v>
      </c>
      <c r="O21" s="111"/>
      <c r="P21" s="64"/>
      <c r="Q21" s="18" t="s">
        <v>8</v>
      </c>
      <c r="R21" s="4" t="s">
        <v>43</v>
      </c>
      <c r="S21" s="19" t="s">
        <v>7</v>
      </c>
      <c r="V21" s="25"/>
      <c r="W21" s="25"/>
      <c r="X21" s="25"/>
      <c r="Y21" s="25"/>
      <c r="Z21" s="25"/>
      <c r="AA21" s="25"/>
      <c r="AB21" s="38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5"/>
    </row>
    <row r="22" spans="2:42" ht="20.149999999999999" customHeight="1" thickBot="1" x14ac:dyDescent="0.4">
      <c r="B22" s="35"/>
      <c r="C22" s="164"/>
      <c r="D22" s="6"/>
      <c r="E22" s="7" t="s">
        <v>47</v>
      </c>
      <c r="F22" s="7" t="s">
        <v>6</v>
      </c>
      <c r="G22" s="7" t="s">
        <v>7</v>
      </c>
      <c r="H22" s="8"/>
      <c r="J22" s="172"/>
      <c r="K22" s="113"/>
      <c r="L22" s="114"/>
      <c r="M22" s="115"/>
      <c r="N22" s="115"/>
      <c r="O22" s="116"/>
      <c r="P22" s="64"/>
      <c r="Q22" s="20"/>
      <c r="R22" s="9"/>
      <c r="S22" s="21"/>
      <c r="V22" s="25"/>
      <c r="W22" s="25"/>
      <c r="X22" s="25"/>
      <c r="Y22" s="25"/>
      <c r="Z22" s="25"/>
      <c r="AA22" s="25"/>
      <c r="AB22" s="38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5"/>
    </row>
    <row r="23" spans="2:42" ht="20.149999999999999" customHeight="1" x14ac:dyDescent="0.35">
      <c r="B23" s="35"/>
      <c r="C23" s="164"/>
      <c r="D23" s="6"/>
      <c r="E23" s="9"/>
      <c r="F23" s="9"/>
      <c r="G23" s="9"/>
      <c r="H23" s="8"/>
      <c r="P23" s="64"/>
      <c r="Q23" s="20" t="s">
        <v>22</v>
      </c>
      <c r="R23" s="97">
        <f>R11*M21*10^-3</f>
        <v>2374.3812754902515</v>
      </c>
      <c r="S23" s="68" t="s">
        <v>44</v>
      </c>
      <c r="V23" s="26" t="s">
        <v>26</v>
      </c>
      <c r="W23" s="25"/>
      <c r="X23" s="25"/>
      <c r="Y23" s="25"/>
      <c r="Z23" s="154" t="s">
        <v>27</v>
      </c>
      <c r="AA23" s="154"/>
      <c r="AB23" s="38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5"/>
    </row>
    <row r="24" spans="2:42" ht="20.149999999999999" customHeight="1" x14ac:dyDescent="0.35">
      <c r="B24" s="35"/>
      <c r="C24" s="164"/>
      <c r="D24" s="6"/>
      <c r="E24" s="9" t="s">
        <v>50</v>
      </c>
      <c r="F24" s="16">
        <f>IF($F$16="Fixed",VLOOKUP($F$6,Processing!$D$8:$G$29,4,FALSE),VLOOKUP($F$6,Processing!$D$8:$F$29,2,FALSE)*LN(F11)+VLOOKUP($F$6,Processing!$D$8:$F$29,3,FALSE))</f>
        <v>93.535745368506767</v>
      </c>
      <c r="G24" s="9" t="s">
        <v>11</v>
      </c>
      <c r="H24" s="8"/>
      <c r="J24" s="167" t="s">
        <v>29</v>
      </c>
      <c r="K24" s="2"/>
      <c r="L24" s="3"/>
      <c r="M24" s="3"/>
      <c r="N24" s="3"/>
      <c r="O24" s="5"/>
      <c r="P24" s="28"/>
      <c r="Q24" s="20" t="s">
        <v>123</v>
      </c>
      <c r="R24" s="97">
        <f>(R13*R11+IF(Q12="SR",R12*R11*R14,R12*R14)+R15*R11)/1000</f>
        <v>944.25</v>
      </c>
      <c r="S24" s="68" t="s">
        <v>44</v>
      </c>
      <c r="V24" s="70">
        <f>V19-Z24</f>
        <v>128.47444524961944</v>
      </c>
      <c r="W24" s="25"/>
      <c r="X24" s="25"/>
      <c r="Y24" s="25"/>
      <c r="Z24" s="150">
        <f>F11%*F24%/F32%*('Price and Costs'!J21+'Price and Costs'!K21)</f>
        <v>3.2835234792048933</v>
      </c>
      <c r="AA24" s="151"/>
      <c r="AB24" s="38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5"/>
    </row>
    <row r="25" spans="2:42" ht="20.149999999999999" customHeight="1" x14ac:dyDescent="0.35">
      <c r="B25" s="35"/>
      <c r="C25" s="164"/>
      <c r="D25" s="6"/>
      <c r="E25" s="9" t="s">
        <v>56</v>
      </c>
      <c r="F25" s="16">
        <f>HLOOKUP($F$17,Processing!$C$31:$G$33,2,FALSE)</f>
        <v>60</v>
      </c>
      <c r="G25" s="9" t="s">
        <v>11</v>
      </c>
      <c r="H25" s="8"/>
      <c r="J25" s="168"/>
      <c r="K25" s="6"/>
      <c r="L25" s="7" t="s">
        <v>5</v>
      </c>
      <c r="M25" s="7" t="s">
        <v>8</v>
      </c>
      <c r="N25" s="9"/>
      <c r="O25" s="8"/>
      <c r="P25" s="28"/>
      <c r="Q25" s="20" t="s">
        <v>124</v>
      </c>
      <c r="R25" s="98">
        <f>R16*R11/1000</f>
        <v>148</v>
      </c>
      <c r="S25" s="68" t="s">
        <v>44</v>
      </c>
      <c r="W25" s="25"/>
      <c r="X25" s="25"/>
      <c r="Y25" s="25"/>
      <c r="Z25" s="152">
        <f>Z24/V9</f>
        <v>1.8697624648053471E-2</v>
      </c>
      <c r="AA25" s="153"/>
      <c r="AB25" s="38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5"/>
    </row>
    <row r="26" spans="2:42" ht="20.149999999999999" customHeight="1" x14ac:dyDescent="0.35">
      <c r="B26" s="35"/>
      <c r="C26" s="164"/>
      <c r="D26" s="6"/>
      <c r="E26" s="9" t="s">
        <v>105</v>
      </c>
      <c r="F26" s="16">
        <f>HLOOKUP($F$17,Processing!$C$31:$G$33,3,FALSE)</f>
        <v>60</v>
      </c>
      <c r="G26" s="9" t="s">
        <v>11</v>
      </c>
      <c r="H26" s="8"/>
      <c r="J26" s="168"/>
      <c r="K26" s="6"/>
      <c r="L26" s="9"/>
      <c r="M26" s="9"/>
      <c r="N26" s="9"/>
      <c r="O26" s="8"/>
      <c r="P26" s="28"/>
      <c r="Q26" s="20" t="s">
        <v>17</v>
      </c>
      <c r="R26" s="98">
        <f>R17*R11/1000</f>
        <v>0</v>
      </c>
      <c r="S26" s="68" t="s">
        <v>44</v>
      </c>
      <c r="AB26" s="36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5"/>
    </row>
    <row r="27" spans="2:42" ht="20.149999999999999" customHeight="1" x14ac:dyDescent="0.35">
      <c r="B27" s="35"/>
      <c r="C27" s="165"/>
      <c r="D27" s="11"/>
      <c r="E27" s="7"/>
      <c r="F27" s="61"/>
      <c r="G27" s="7"/>
      <c r="H27" s="13"/>
      <c r="J27" s="168"/>
      <c r="K27" s="6"/>
      <c r="L27" s="9" t="s">
        <v>50</v>
      </c>
      <c r="M27" s="16">
        <f>IFERROR((M17)/($F$11),0)</f>
        <v>77.290805185235286</v>
      </c>
      <c r="N27" s="16"/>
      <c r="O27" s="8"/>
      <c r="P27" s="28"/>
      <c r="Q27" s="20"/>
      <c r="R27" s="98"/>
      <c r="S27" s="21"/>
      <c r="U27" s="27"/>
      <c r="X27" s="29"/>
      <c r="Y27" s="30"/>
      <c r="Z27" s="29"/>
      <c r="AA27" s="29"/>
      <c r="AB27" s="36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5"/>
    </row>
    <row r="28" spans="2:42" ht="20.149999999999999" customHeight="1" x14ac:dyDescent="0.35">
      <c r="B28" s="35"/>
      <c r="J28" s="168"/>
      <c r="K28" s="6"/>
      <c r="L28" s="9" t="s">
        <v>51</v>
      </c>
      <c r="M28" s="16">
        <f>IFERROR((M18)/($F$12),0)</f>
        <v>40.765933094346302</v>
      </c>
      <c r="N28" s="16"/>
      <c r="O28" s="8"/>
      <c r="P28" s="28"/>
      <c r="Q28" s="65" t="s">
        <v>25</v>
      </c>
      <c r="R28" s="99">
        <f>R23-SUM(R24:R26)</f>
        <v>1282.1312754902515</v>
      </c>
      <c r="S28" s="21"/>
      <c r="X28" s="29"/>
      <c r="Y28" s="30"/>
      <c r="Z28" s="154" t="s">
        <v>126</v>
      </c>
      <c r="AA28" s="154"/>
      <c r="AB28" s="36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5"/>
    </row>
    <row r="29" spans="2:42" ht="20.149999999999999" customHeight="1" x14ac:dyDescent="0.35">
      <c r="B29" s="35"/>
      <c r="C29" s="167" t="s">
        <v>48</v>
      </c>
      <c r="D29" s="2"/>
      <c r="E29" s="3"/>
      <c r="F29" s="3"/>
      <c r="G29" s="3"/>
      <c r="H29" s="5"/>
      <c r="J29" s="168"/>
      <c r="K29" s="6"/>
      <c r="L29" s="9" t="s">
        <v>97</v>
      </c>
      <c r="M29" s="16">
        <f>IFERROR((M19)/($F$13),0)</f>
        <v>0.48745575256803891</v>
      </c>
      <c r="N29" s="16"/>
      <c r="O29" s="8"/>
      <c r="Q29" s="66" t="s">
        <v>28</v>
      </c>
      <c r="R29" s="69">
        <f>IFERROR(R28/R23,0)</f>
        <v>0.53998542219194468</v>
      </c>
      <c r="S29" s="23"/>
      <c r="V29" s="26" t="s">
        <v>30</v>
      </c>
      <c r="Z29" s="150">
        <f>(IFERROR(F11%*F24%*(F40-M8/F32%),0)+IFERROR((F12/31.1035)*F25%*(F41-M9/F33),0)+IFERROR((F13/31.1035)*F26%*(F42-M10/F34),0)-Z24)</f>
        <v>7.3325434388923121</v>
      </c>
      <c r="AA29" s="151"/>
      <c r="AB29" s="6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5"/>
    </row>
    <row r="30" spans="2:42" ht="20.149999999999999" customHeight="1" x14ac:dyDescent="0.35">
      <c r="B30" s="35"/>
      <c r="C30" s="168"/>
      <c r="D30" s="6"/>
      <c r="E30" s="7" t="s">
        <v>5</v>
      </c>
      <c r="F30" s="7" t="s">
        <v>6</v>
      </c>
      <c r="G30" s="7" t="s">
        <v>7</v>
      </c>
      <c r="H30" s="8"/>
      <c r="I30" s="24"/>
      <c r="J30" s="169"/>
      <c r="K30" s="11"/>
      <c r="L30" s="12"/>
      <c r="M30" s="12"/>
      <c r="N30" s="12"/>
      <c r="O30" s="13"/>
      <c r="V30" s="70">
        <f>V24-Z29</f>
        <v>121.14190181072712</v>
      </c>
      <c r="Z30" s="152">
        <f>Z29/V9</f>
        <v>4.1754275796789718E-2</v>
      </c>
      <c r="AA30" s="153"/>
      <c r="AB30" s="36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6"/>
      <c r="AP30" s="46"/>
    </row>
    <row r="31" spans="2:42" ht="19.75" customHeight="1" x14ac:dyDescent="0.35">
      <c r="B31" s="35"/>
      <c r="C31" s="168"/>
      <c r="D31" s="6"/>
      <c r="E31" s="9"/>
      <c r="F31" s="9"/>
      <c r="G31" s="9"/>
      <c r="H31" s="8"/>
      <c r="AB31" s="36"/>
    </row>
    <row r="32" spans="2:42" ht="20.149999999999999" customHeight="1" x14ac:dyDescent="0.35">
      <c r="B32" s="35"/>
      <c r="C32" s="168"/>
      <c r="D32" s="6"/>
      <c r="E32" s="9" t="s">
        <v>50</v>
      </c>
      <c r="F32" s="16">
        <f>HLOOKUP($F$18,Processing!$C$35:$G$36,2,FALSE)</f>
        <v>33.5</v>
      </c>
      <c r="G32" s="9" t="s">
        <v>11</v>
      </c>
      <c r="H32" s="8"/>
      <c r="J32" s="167" t="s">
        <v>32</v>
      </c>
      <c r="K32" s="2"/>
      <c r="L32" s="3"/>
      <c r="M32" s="3"/>
      <c r="N32" s="3"/>
      <c r="O32" s="5"/>
      <c r="Z32" s="62"/>
      <c r="AA32" s="56"/>
      <c r="AB32" s="36"/>
    </row>
    <row r="33" spans="1:203" ht="20.149999999999999" customHeight="1" x14ac:dyDescent="0.35">
      <c r="B33" s="35"/>
      <c r="C33" s="168"/>
      <c r="D33" s="6"/>
      <c r="E33" s="9" t="s">
        <v>51</v>
      </c>
      <c r="F33" s="16">
        <f>IFERROR((F12/31.1035*F25%/(F11%*F24%/F32%)),"")</f>
        <v>0.11350342965247601</v>
      </c>
      <c r="G33" s="9" t="s">
        <v>59</v>
      </c>
      <c r="H33" s="8"/>
      <c r="J33" s="168"/>
      <c r="K33" s="6"/>
      <c r="L33" s="7" t="s">
        <v>5</v>
      </c>
      <c r="M33" s="7" t="s">
        <v>8</v>
      </c>
      <c r="N33" s="9"/>
      <c r="O33" s="8"/>
      <c r="Z33" s="154"/>
      <c r="AA33" s="154"/>
      <c r="AB33" s="36"/>
    </row>
    <row r="34" spans="1:203" ht="20.149999999999999" customHeight="1" x14ac:dyDescent="0.35">
      <c r="B34" s="35"/>
      <c r="C34" s="168"/>
      <c r="D34" s="6"/>
      <c r="E34" s="9" t="s">
        <v>97</v>
      </c>
      <c r="F34" s="16">
        <f>IFERROR((F13/31.1035*F26%/(F11%*F24%/F32%)),"")</f>
        <v>1.1498390916968222</v>
      </c>
      <c r="G34" s="9" t="s">
        <v>59</v>
      </c>
      <c r="H34" s="8"/>
      <c r="J34" s="168"/>
      <c r="K34" s="6"/>
      <c r="L34" s="9"/>
      <c r="M34" s="9"/>
      <c r="N34" s="9"/>
      <c r="O34" s="8"/>
      <c r="V34" s="26" t="s">
        <v>33</v>
      </c>
      <c r="X34" s="24"/>
      <c r="Z34" s="150">
        <f>NSR!V30*'Price and Costs'!G29%</f>
        <v>2.4228380362145425</v>
      </c>
      <c r="AA34" s="151"/>
      <c r="AB34" s="36"/>
    </row>
    <row r="35" spans="1:203" ht="20.149999999999999" customHeight="1" x14ac:dyDescent="0.35">
      <c r="B35" s="35"/>
      <c r="C35" s="169"/>
      <c r="D35" s="11"/>
      <c r="E35" s="12"/>
      <c r="F35" s="12"/>
      <c r="G35" s="12"/>
      <c r="H35" s="13"/>
      <c r="J35" s="168"/>
      <c r="K35" s="6"/>
      <c r="L35" s="9" t="s">
        <v>50</v>
      </c>
      <c r="M35" s="67">
        <f>IFERROR(M17/(F11%*F24%*F40),0)</f>
        <v>0.90318474289656614</v>
      </c>
      <c r="N35" s="16"/>
      <c r="O35" s="8"/>
      <c r="V35" s="70">
        <f>V30-Z34</f>
        <v>118.71906377451258</v>
      </c>
      <c r="X35" s="24"/>
      <c r="Z35" s="152">
        <f>Z34/V14</f>
        <v>1.6369905304519778E-2</v>
      </c>
      <c r="AA35" s="153"/>
      <c r="AB35" s="36"/>
    </row>
    <row r="36" spans="1:203" ht="20.149999999999999" customHeight="1" x14ac:dyDescent="0.35">
      <c r="B36" s="35"/>
      <c r="J36" s="168"/>
      <c r="K36" s="6"/>
      <c r="L36" s="9" t="s">
        <v>51</v>
      </c>
      <c r="M36" s="67">
        <f>IFERROR(M18/(F12/31.1035*F25%*F41),0)</f>
        <v>0.88053000000000015</v>
      </c>
      <c r="N36" s="16"/>
      <c r="O36" s="8"/>
      <c r="Z36" s="62"/>
      <c r="AA36" s="56"/>
      <c r="AB36" s="36"/>
    </row>
    <row r="37" spans="1:203" ht="20.149999999999999" customHeight="1" x14ac:dyDescent="0.35">
      <c r="B37" s="35"/>
      <c r="C37" s="163" t="s">
        <v>31</v>
      </c>
      <c r="D37" s="2"/>
      <c r="E37" s="3"/>
      <c r="F37" s="3"/>
      <c r="G37" s="3"/>
      <c r="H37" s="5"/>
      <c r="J37" s="168"/>
      <c r="K37" s="6"/>
      <c r="L37" s="9" t="s">
        <v>97</v>
      </c>
      <c r="M37" s="67">
        <f>IFERROR(M19/(F13/31.1035*F26%*F42),0)</f>
        <v>0.87135517241379312</v>
      </c>
      <c r="N37" s="16"/>
      <c r="O37" s="8"/>
      <c r="Z37" s="56"/>
      <c r="AA37" s="56"/>
      <c r="AB37" s="36"/>
    </row>
    <row r="38" spans="1:203" ht="20.149999999999999" customHeight="1" x14ac:dyDescent="0.35">
      <c r="B38" s="35"/>
      <c r="C38" s="164"/>
      <c r="D38" s="6"/>
      <c r="E38" s="7" t="s">
        <v>5</v>
      </c>
      <c r="F38" s="7" t="s">
        <v>6</v>
      </c>
      <c r="G38" s="7" t="s">
        <v>7</v>
      </c>
      <c r="H38" s="8"/>
      <c r="J38" s="169"/>
      <c r="K38" s="11"/>
      <c r="L38" s="12"/>
      <c r="M38" s="12"/>
      <c r="N38" s="12"/>
      <c r="O38" s="13"/>
      <c r="AB38" s="36"/>
    </row>
    <row r="39" spans="1:203" s="77" customFormat="1" ht="20.149999999999999" customHeight="1" x14ac:dyDescent="0.35">
      <c r="A39" s="75"/>
      <c r="B39" s="76"/>
      <c r="C39" s="164"/>
      <c r="D39" s="6"/>
      <c r="E39" s="9"/>
      <c r="F39" s="9"/>
      <c r="G39" s="9"/>
      <c r="H39" s="8"/>
      <c r="J39" s="24"/>
      <c r="K39" s="1"/>
      <c r="L39" s="1"/>
      <c r="M39" s="24"/>
      <c r="N39" s="24"/>
      <c r="O39" s="1"/>
      <c r="Q39" s="1"/>
      <c r="R39" s="1"/>
      <c r="S39" s="1"/>
      <c r="V39" s="79" t="s">
        <v>45</v>
      </c>
      <c r="W39" s="148">
        <f>V35</f>
        <v>118.71906377451258</v>
      </c>
      <c r="X39" s="149"/>
      <c r="AB39" s="78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  <c r="BC39" s="75"/>
      <c r="BD39" s="75"/>
      <c r="BE39" s="75"/>
      <c r="BF39" s="75"/>
      <c r="BG39" s="75"/>
      <c r="BH39" s="75"/>
      <c r="BI39" s="75"/>
      <c r="BJ39" s="75"/>
      <c r="BK39" s="75"/>
      <c r="BL39" s="75"/>
      <c r="BM39" s="75"/>
      <c r="BN39" s="75"/>
      <c r="BO39" s="75"/>
      <c r="BP39" s="75"/>
      <c r="BQ39" s="75"/>
      <c r="BR39" s="75"/>
      <c r="BS39" s="75"/>
      <c r="BT39" s="75"/>
      <c r="BU39" s="75"/>
      <c r="BV39" s="75"/>
      <c r="BW39" s="75"/>
      <c r="BX39" s="75"/>
      <c r="BY39" s="75"/>
      <c r="BZ39" s="75"/>
      <c r="CA39" s="75"/>
      <c r="CB39" s="75"/>
      <c r="CC39" s="75"/>
      <c r="CD39" s="75"/>
      <c r="CE39" s="75"/>
      <c r="CF39" s="75"/>
      <c r="CG39" s="75"/>
      <c r="CH39" s="75"/>
      <c r="CI39" s="75"/>
      <c r="CJ39" s="75"/>
      <c r="CK39" s="75"/>
      <c r="CL39" s="75"/>
      <c r="CM39" s="75"/>
      <c r="CN39" s="75"/>
      <c r="CO39" s="75"/>
      <c r="CP39" s="75"/>
      <c r="CQ39" s="75"/>
      <c r="CR39" s="75"/>
      <c r="CS39" s="75"/>
      <c r="CT39" s="75"/>
      <c r="CU39" s="75"/>
      <c r="CV39" s="75"/>
      <c r="CW39" s="75"/>
      <c r="CX39" s="75"/>
      <c r="CY39" s="75"/>
      <c r="CZ39" s="75"/>
      <c r="DA39" s="75"/>
      <c r="DB39" s="75"/>
      <c r="DC39" s="75"/>
      <c r="DD39" s="75"/>
      <c r="DE39" s="75"/>
      <c r="DF39" s="75"/>
      <c r="DG39" s="75"/>
      <c r="DH39" s="75"/>
      <c r="DI39" s="75"/>
      <c r="DJ39" s="75"/>
      <c r="DK39" s="75"/>
      <c r="DL39" s="75"/>
      <c r="DM39" s="75"/>
      <c r="DN39" s="75"/>
      <c r="DO39" s="75"/>
      <c r="DP39" s="75"/>
      <c r="DQ39" s="75"/>
      <c r="DR39" s="75"/>
      <c r="DS39" s="75"/>
      <c r="DT39" s="75"/>
      <c r="DU39" s="75"/>
      <c r="DV39" s="75"/>
      <c r="DW39" s="75"/>
      <c r="DX39" s="75"/>
      <c r="DY39" s="75"/>
      <c r="DZ39" s="75"/>
      <c r="EA39" s="75"/>
      <c r="EB39" s="75"/>
      <c r="EC39" s="75"/>
      <c r="ED39" s="75"/>
      <c r="EE39" s="75"/>
      <c r="EF39" s="75"/>
      <c r="EG39" s="75"/>
      <c r="EH39" s="75"/>
      <c r="EI39" s="75"/>
      <c r="EJ39" s="75"/>
      <c r="EK39" s="75"/>
      <c r="EL39" s="75"/>
      <c r="EM39" s="75"/>
      <c r="EN39" s="75"/>
      <c r="EO39" s="75"/>
      <c r="EP39" s="75"/>
      <c r="EQ39" s="75"/>
      <c r="ER39" s="75"/>
      <c r="ES39" s="75"/>
      <c r="ET39" s="75"/>
      <c r="EU39" s="75"/>
      <c r="EV39" s="75"/>
      <c r="EW39" s="75"/>
      <c r="EX39" s="75"/>
      <c r="EY39" s="75"/>
      <c r="EZ39" s="75"/>
      <c r="FA39" s="75"/>
      <c r="FB39" s="75"/>
      <c r="FC39" s="75"/>
      <c r="FD39" s="75"/>
      <c r="FE39" s="75"/>
      <c r="FF39" s="75"/>
      <c r="FG39" s="75"/>
      <c r="FH39" s="75"/>
      <c r="FI39" s="75"/>
      <c r="FJ39" s="75"/>
      <c r="FK39" s="75"/>
      <c r="FL39" s="75"/>
      <c r="FM39" s="75"/>
      <c r="FN39" s="75"/>
      <c r="FO39" s="75"/>
      <c r="FP39" s="75"/>
      <c r="FQ39" s="75"/>
      <c r="FR39" s="75"/>
      <c r="FS39" s="75"/>
      <c r="FT39" s="75"/>
      <c r="FU39" s="75"/>
      <c r="FV39" s="75"/>
      <c r="FW39" s="75"/>
      <c r="FX39" s="75"/>
      <c r="FY39" s="75"/>
      <c r="FZ39" s="75"/>
      <c r="GA39" s="75"/>
      <c r="GB39" s="75"/>
      <c r="GC39" s="75"/>
      <c r="GD39" s="75"/>
      <c r="GE39" s="75"/>
      <c r="GF39" s="75"/>
      <c r="GG39" s="75"/>
      <c r="GH39" s="75"/>
      <c r="GI39" s="75"/>
      <c r="GJ39" s="75"/>
      <c r="GK39" s="75"/>
      <c r="GL39" s="75"/>
      <c r="GM39" s="75"/>
      <c r="GN39" s="75"/>
      <c r="GO39" s="75"/>
      <c r="GP39" s="75"/>
      <c r="GQ39" s="75"/>
      <c r="GR39" s="75"/>
      <c r="GS39" s="75"/>
      <c r="GT39" s="75"/>
      <c r="GU39" s="75"/>
    </row>
    <row r="40" spans="1:203" ht="20.149999999999999" customHeight="1" x14ac:dyDescent="0.35">
      <c r="B40" s="35"/>
      <c r="C40" s="164"/>
      <c r="D40" s="6"/>
      <c r="E40" s="9" t="s">
        <v>50</v>
      </c>
      <c r="F40" s="126">
        <f>VLOOKUP($F$19,'Price and Costs'!$E$10:$H$14,2,FALSE)</f>
        <v>9149</v>
      </c>
      <c r="G40" s="9" t="s">
        <v>116</v>
      </c>
      <c r="H40" s="8"/>
      <c r="J40" s="167" t="s">
        <v>117</v>
      </c>
      <c r="K40" s="2"/>
      <c r="L40" s="3"/>
      <c r="M40" s="3"/>
      <c r="N40" s="3"/>
      <c r="O40" s="5"/>
      <c r="P40" s="137"/>
      <c r="R40" s="77"/>
      <c r="S40" s="77"/>
      <c r="AB40" s="36"/>
    </row>
    <row r="41" spans="1:203" ht="20.149999999999999" customHeight="1" x14ac:dyDescent="0.35">
      <c r="B41" s="35"/>
      <c r="C41" s="164"/>
      <c r="D41" s="6"/>
      <c r="E41" s="9" t="s">
        <v>51</v>
      </c>
      <c r="F41" s="126">
        <f>VLOOKUP($F$19,'Price and Costs'!$E$10:$H$14,3,FALSE)</f>
        <v>2400</v>
      </c>
      <c r="G41" s="9" t="s">
        <v>111</v>
      </c>
      <c r="H41" s="8"/>
      <c r="J41" s="168"/>
      <c r="K41" s="6"/>
      <c r="L41" s="7" t="s">
        <v>20</v>
      </c>
      <c r="M41" s="7" t="s">
        <v>118</v>
      </c>
      <c r="N41" s="9"/>
      <c r="O41" s="8"/>
      <c r="AB41" s="36"/>
    </row>
    <row r="42" spans="1:203" ht="20.149999999999999" customHeight="1" x14ac:dyDescent="0.35">
      <c r="B42" s="35"/>
      <c r="C42" s="164"/>
      <c r="D42" s="6"/>
      <c r="E42" s="9" t="s">
        <v>97</v>
      </c>
      <c r="F42" s="126">
        <f>VLOOKUP($F$19,'Price and Costs'!$E$10:$H$14,4,FALSE)</f>
        <v>29</v>
      </c>
      <c r="G42" s="9" t="s">
        <v>111</v>
      </c>
      <c r="H42" s="8"/>
      <c r="J42" s="168"/>
      <c r="K42" s="6"/>
      <c r="L42" s="9"/>
      <c r="M42" s="9"/>
      <c r="N42" s="9"/>
      <c r="O42" s="8"/>
      <c r="AB42" s="36"/>
    </row>
    <row r="43" spans="1:203" ht="20.149999999999999" customHeight="1" x14ac:dyDescent="0.35">
      <c r="B43" s="35"/>
      <c r="C43" s="165"/>
      <c r="D43" s="11"/>
      <c r="E43" s="12"/>
      <c r="F43" s="12"/>
      <c r="G43" s="12"/>
      <c r="H43" s="13"/>
      <c r="J43" s="169"/>
      <c r="K43" s="11"/>
      <c r="L43" s="147">
        <f>M21/M27</f>
        <v>1.5360050071931617</v>
      </c>
      <c r="M43" s="138">
        <f>F11+(F12/31.1035)*(F41/F40)*(F25/F24)*100+(F13/31.1035)*(F42/F40)*(F26/F24)*100</f>
        <v>1.5396629240142745</v>
      </c>
      <c r="N43" s="74"/>
      <c r="O43" s="13"/>
      <c r="P43" s="137"/>
      <c r="AB43" s="36"/>
    </row>
    <row r="44" spans="1:203" ht="20.149999999999999" customHeight="1" x14ac:dyDescent="0.35">
      <c r="B44" s="35"/>
      <c r="V44" s="27"/>
      <c r="AB44" s="36"/>
    </row>
    <row r="45" spans="1:203" ht="20.149999999999999" customHeight="1" x14ac:dyDescent="0.35">
      <c r="B45" s="35"/>
      <c r="C45" s="106"/>
      <c r="L45" s="139"/>
      <c r="M45" s="140"/>
      <c r="Z45" s="27"/>
      <c r="AB45" s="36"/>
    </row>
    <row r="46" spans="1:203" ht="20.149999999999999" customHeight="1" x14ac:dyDescent="0.35">
      <c r="B46" s="35"/>
      <c r="W46" s="27"/>
      <c r="AB46" s="36"/>
    </row>
    <row r="47" spans="1:203" ht="20.149999999999999" customHeight="1" x14ac:dyDescent="0.35">
      <c r="B47" s="35"/>
      <c r="C47" s="77"/>
      <c r="D47" s="77"/>
      <c r="E47" s="77"/>
      <c r="F47" s="77"/>
      <c r="G47" s="77"/>
      <c r="H47" s="77"/>
      <c r="L47" s="141"/>
      <c r="W47" s="27"/>
      <c r="AB47" s="36"/>
    </row>
    <row r="48" spans="1:203" ht="20.149999999999999" customHeight="1" thickBot="1" x14ac:dyDescent="0.4">
      <c r="B48" s="39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40"/>
    </row>
    <row r="49" s="41" customFormat="1" ht="20.149999999999999" customHeight="1" thickTop="1" x14ac:dyDescent="0.35"/>
    <row r="50" s="41" customFormat="1" ht="20.149999999999999" customHeight="1" thickTop="1" x14ac:dyDescent="0.35"/>
    <row r="51" s="41" customFormat="1" ht="20.149999999999999" customHeight="1" thickTop="1" x14ac:dyDescent="0.35"/>
    <row r="52" s="41" customFormat="1" ht="20.149999999999999" customHeight="1" thickTop="1" x14ac:dyDescent="0.35"/>
    <row r="53" s="41" customFormat="1" ht="20.149999999999999" customHeight="1" thickTop="1" x14ac:dyDescent="0.35"/>
    <row r="54" s="41" customFormat="1" ht="20.149999999999999" customHeight="1" thickTop="1" x14ac:dyDescent="0.35"/>
    <row r="55" s="41" customFormat="1" ht="20.149999999999999" customHeight="1" thickTop="1" x14ac:dyDescent="0.35"/>
    <row r="56" s="41" customFormat="1" ht="20.149999999999999" customHeight="1" thickTop="1" x14ac:dyDescent="0.35"/>
    <row r="57" s="41" customFormat="1" ht="20.149999999999999" customHeight="1" thickTop="1" x14ac:dyDescent="0.35"/>
    <row r="58" s="41" customFormat="1" ht="20.149999999999999" customHeight="1" thickTop="1" x14ac:dyDescent="0.35"/>
    <row r="59" s="41" customFormat="1" ht="20.149999999999999" customHeight="1" thickTop="1" x14ac:dyDescent="0.35"/>
    <row r="60" s="41" customFormat="1" ht="20.149999999999999" customHeight="1" thickTop="1" x14ac:dyDescent="0.35"/>
    <row r="61" s="41" customFormat="1" ht="20.149999999999999" customHeight="1" thickTop="1" x14ac:dyDescent="0.35"/>
    <row r="62" s="41" customFormat="1" ht="20.149999999999999" customHeight="1" thickTop="1" x14ac:dyDescent="0.35"/>
    <row r="63" s="41" customFormat="1" ht="20.149999999999999" customHeight="1" thickTop="1" x14ac:dyDescent="0.35"/>
    <row r="64" s="41" customFormat="1" ht="20.149999999999999" customHeight="1" thickTop="1" x14ac:dyDescent="0.35"/>
    <row r="65" s="41" customFormat="1" ht="20.149999999999999" customHeight="1" thickTop="1" x14ac:dyDescent="0.35"/>
    <row r="66" s="41" customFormat="1" ht="20.149999999999999" customHeight="1" thickTop="1" x14ac:dyDescent="0.35"/>
    <row r="67" s="41" customFormat="1" ht="20.149999999999999" customHeight="1" thickTop="1" x14ac:dyDescent="0.35"/>
    <row r="68" s="41" customFormat="1" ht="20.149999999999999" customHeight="1" thickTop="1" x14ac:dyDescent="0.35"/>
    <row r="69" s="41" customFormat="1" ht="20.149999999999999" customHeight="1" thickTop="1" x14ac:dyDescent="0.35"/>
    <row r="70" s="41" customFormat="1" ht="20.149999999999999" customHeight="1" thickTop="1" x14ac:dyDescent="0.35"/>
    <row r="71" s="41" customFormat="1" ht="20.149999999999999" customHeight="1" thickTop="1" x14ac:dyDescent="0.35"/>
    <row r="72" s="41" customFormat="1" ht="20.149999999999999" customHeight="1" thickTop="1" x14ac:dyDescent="0.35"/>
    <row r="73" s="41" customFormat="1" ht="20.149999999999999" customHeight="1" thickTop="1" x14ac:dyDescent="0.35"/>
    <row r="74" s="41" customFormat="1" ht="20.149999999999999" customHeight="1" thickTop="1" x14ac:dyDescent="0.35"/>
    <row r="75" s="41" customFormat="1" ht="20.149999999999999" customHeight="1" thickTop="1" x14ac:dyDescent="0.35"/>
    <row r="76" s="41" customFormat="1" ht="20.149999999999999" customHeight="1" thickTop="1" x14ac:dyDescent="0.35"/>
    <row r="77" s="41" customFormat="1" ht="20.149999999999999" customHeight="1" thickTop="1" x14ac:dyDescent="0.35"/>
    <row r="78" s="41" customFormat="1" ht="20.149999999999999" customHeight="1" thickTop="1" x14ac:dyDescent="0.35"/>
    <row r="79" s="41" customFormat="1" ht="20.149999999999999" customHeight="1" thickTop="1" x14ac:dyDescent="0.35"/>
    <row r="80" s="41" customFormat="1" ht="20.149999999999999" customHeight="1" thickTop="1" x14ac:dyDescent="0.35"/>
    <row r="81" s="41" customFormat="1" ht="20.149999999999999" customHeight="1" thickTop="1" x14ac:dyDescent="0.35"/>
    <row r="82" s="41" customFormat="1" ht="20.149999999999999" customHeight="1" thickTop="1" x14ac:dyDescent="0.35"/>
    <row r="83" s="41" customFormat="1" ht="20.149999999999999" customHeight="1" thickTop="1" x14ac:dyDescent="0.35"/>
    <row r="84" s="41" customFormat="1" ht="20.149999999999999" customHeight="1" thickTop="1" x14ac:dyDescent="0.35"/>
    <row r="85" s="41" customFormat="1" ht="20.149999999999999" customHeight="1" thickTop="1" x14ac:dyDescent="0.35"/>
    <row r="86" s="41" customFormat="1" ht="20.149999999999999" customHeight="1" thickTop="1" x14ac:dyDescent="0.35"/>
    <row r="87" s="41" customFormat="1" ht="20.149999999999999" customHeight="1" thickTop="1" x14ac:dyDescent="0.35"/>
    <row r="88" s="41" customFormat="1" ht="20.149999999999999" customHeight="1" thickTop="1" x14ac:dyDescent="0.35"/>
    <row r="89" s="41" customFormat="1" ht="20.149999999999999" customHeight="1" thickTop="1" x14ac:dyDescent="0.35"/>
    <row r="90" s="41" customFormat="1" ht="20.149999999999999" customHeight="1" thickTop="1" x14ac:dyDescent="0.35"/>
    <row r="91" s="41" customFormat="1" ht="20.149999999999999" customHeight="1" thickTop="1" x14ac:dyDescent="0.35"/>
    <row r="92" s="41" customFormat="1" ht="20.149999999999999" customHeight="1" thickTop="1" x14ac:dyDescent="0.35"/>
    <row r="93" s="41" customFormat="1" ht="20.149999999999999" customHeight="1" thickTop="1" x14ac:dyDescent="0.35"/>
    <row r="94" s="41" customFormat="1" ht="20.149999999999999" customHeight="1" thickTop="1" x14ac:dyDescent="0.35"/>
    <row r="95" s="41" customFormat="1" ht="20.149999999999999" customHeight="1" thickTop="1" x14ac:dyDescent="0.35"/>
    <row r="96" s="41" customFormat="1" ht="20.149999999999999" customHeight="1" thickTop="1" x14ac:dyDescent="0.35"/>
    <row r="97" s="41" customFormat="1" ht="20.149999999999999" customHeight="1" thickTop="1" x14ac:dyDescent="0.35"/>
    <row r="98" s="41" customFormat="1" ht="20.149999999999999" customHeight="1" thickTop="1" x14ac:dyDescent="0.35"/>
    <row r="99" s="41" customFormat="1" ht="20.149999999999999" customHeight="1" thickTop="1" x14ac:dyDescent="0.35"/>
    <row r="100" s="41" customFormat="1" ht="20.149999999999999" customHeight="1" thickTop="1" x14ac:dyDescent="0.35"/>
    <row r="101" s="41" customFormat="1" ht="20.149999999999999" customHeight="1" thickTop="1" x14ac:dyDescent="0.35"/>
    <row r="102" s="41" customFormat="1" ht="20.149999999999999" customHeight="1" thickTop="1" x14ac:dyDescent="0.35"/>
    <row r="103" s="41" customFormat="1" ht="20.149999999999999" customHeight="1" thickTop="1" x14ac:dyDescent="0.35"/>
    <row r="104" s="41" customFormat="1" ht="20.149999999999999" customHeight="1" thickTop="1" x14ac:dyDescent="0.35"/>
    <row r="105" s="41" customFormat="1" ht="20.149999999999999" customHeight="1" thickTop="1" x14ac:dyDescent="0.35"/>
    <row r="106" s="41" customFormat="1" ht="20.149999999999999" customHeight="1" thickTop="1" x14ac:dyDescent="0.35"/>
    <row r="107" s="41" customFormat="1" ht="20.149999999999999" customHeight="1" thickTop="1" x14ac:dyDescent="0.35"/>
    <row r="108" s="41" customFormat="1" ht="20.149999999999999" customHeight="1" thickTop="1" x14ac:dyDescent="0.35"/>
    <row r="109" s="41" customFormat="1" ht="20.149999999999999" customHeight="1" thickTop="1" x14ac:dyDescent="0.35"/>
    <row r="110" s="41" customFormat="1" ht="20.149999999999999" customHeight="1" thickTop="1" x14ac:dyDescent="0.35"/>
    <row r="111" s="41" customFormat="1" ht="20.149999999999999" customHeight="1" thickTop="1" x14ac:dyDescent="0.35"/>
    <row r="112" s="41" customFormat="1" ht="20.149999999999999" customHeight="1" thickTop="1" x14ac:dyDescent="0.35"/>
    <row r="113" s="41" customFormat="1" ht="20.149999999999999" customHeight="1" thickTop="1" x14ac:dyDescent="0.35"/>
    <row r="114" s="41" customFormat="1" ht="20.149999999999999" customHeight="1" thickTop="1" x14ac:dyDescent="0.35"/>
    <row r="115" s="41" customFormat="1" ht="20.149999999999999" customHeight="1" thickTop="1" x14ac:dyDescent="0.35"/>
    <row r="116" s="41" customFormat="1" ht="20.149999999999999" customHeight="1" thickTop="1" x14ac:dyDescent="0.35"/>
    <row r="117" s="41" customFormat="1" ht="20.149999999999999" customHeight="1" thickTop="1" x14ac:dyDescent="0.35"/>
    <row r="118" s="41" customFormat="1" ht="20.149999999999999" customHeight="1" thickTop="1" x14ac:dyDescent="0.35"/>
    <row r="119" s="41" customFormat="1" ht="20.149999999999999" customHeight="1" thickTop="1" x14ac:dyDescent="0.35"/>
    <row r="120" s="41" customFormat="1" ht="20.149999999999999" customHeight="1" thickTop="1" x14ac:dyDescent="0.35"/>
    <row r="121" s="41" customFormat="1" ht="20.149999999999999" customHeight="1" thickTop="1" x14ac:dyDescent="0.35"/>
    <row r="122" s="41" customFormat="1" ht="20.149999999999999" customHeight="1" thickTop="1" x14ac:dyDescent="0.35"/>
    <row r="123" s="41" customFormat="1" ht="20.149999999999999" customHeight="1" thickTop="1" x14ac:dyDescent="0.35"/>
    <row r="124" s="41" customFormat="1" ht="20.149999999999999" customHeight="1" thickTop="1" x14ac:dyDescent="0.35"/>
    <row r="125" s="41" customFormat="1" ht="20.149999999999999" customHeight="1" thickTop="1" x14ac:dyDescent="0.35"/>
    <row r="126" s="41" customFormat="1" ht="20.149999999999999" customHeight="1" thickTop="1" x14ac:dyDescent="0.35"/>
    <row r="127" s="41" customFormat="1" ht="20.149999999999999" customHeight="1" thickTop="1" x14ac:dyDescent="0.35"/>
    <row r="128" s="41" customFormat="1" ht="20.149999999999999" customHeight="1" thickTop="1" x14ac:dyDescent="0.35"/>
    <row r="129" s="41" customFormat="1" ht="20.149999999999999" customHeight="1" thickTop="1" x14ac:dyDescent="0.35"/>
    <row r="130" s="41" customFormat="1" ht="20.149999999999999" customHeight="1" thickTop="1" x14ac:dyDescent="0.35"/>
    <row r="131" s="41" customFormat="1" ht="20.149999999999999" customHeight="1" thickTop="1" x14ac:dyDescent="0.35"/>
    <row r="132" s="41" customFormat="1" ht="20.149999999999999" customHeight="1" thickTop="1" x14ac:dyDescent="0.35"/>
    <row r="133" s="41" customFormat="1" ht="20.149999999999999" customHeight="1" thickTop="1" x14ac:dyDescent="0.35"/>
    <row r="134" s="41" customFormat="1" ht="20.149999999999999" customHeight="1" thickTop="1" x14ac:dyDescent="0.35"/>
    <row r="135" s="41" customFormat="1" ht="20.149999999999999" customHeight="1" thickTop="1" x14ac:dyDescent="0.35"/>
    <row r="136" s="41" customFormat="1" ht="20.149999999999999" customHeight="1" thickTop="1" x14ac:dyDescent="0.35"/>
    <row r="137" s="41" customFormat="1" ht="20.149999999999999" customHeight="1" thickTop="1" x14ac:dyDescent="0.35"/>
    <row r="138" s="41" customFormat="1" ht="20.149999999999999" customHeight="1" thickTop="1" x14ac:dyDescent="0.35"/>
    <row r="139" s="41" customFormat="1" ht="20.149999999999999" customHeight="1" thickTop="1" x14ac:dyDescent="0.35"/>
    <row r="140" s="41" customFormat="1" ht="20.149999999999999" customHeight="1" thickTop="1" x14ac:dyDescent="0.35"/>
    <row r="141" s="41" customFormat="1" ht="20.149999999999999" customHeight="1" thickTop="1" x14ac:dyDescent="0.35"/>
    <row r="142" s="41" customFormat="1" ht="20.149999999999999" customHeight="1" thickTop="1" x14ac:dyDescent="0.35"/>
    <row r="143" s="41" customFormat="1" ht="20.149999999999999" customHeight="1" thickTop="1" x14ac:dyDescent="0.35"/>
    <row r="144" s="41" customFormat="1" ht="20.149999999999999" customHeight="1" thickTop="1" x14ac:dyDescent="0.35"/>
    <row r="145" s="41" customFormat="1" ht="20.149999999999999" customHeight="1" thickTop="1" x14ac:dyDescent="0.35"/>
    <row r="146" s="41" customFormat="1" ht="20.149999999999999" customHeight="1" thickTop="1" x14ac:dyDescent="0.35"/>
    <row r="147" s="41" customFormat="1" ht="20.149999999999999" customHeight="1" thickTop="1" x14ac:dyDescent="0.35"/>
    <row r="148" s="41" customFormat="1" ht="20.149999999999999" customHeight="1" thickTop="1" x14ac:dyDescent="0.35"/>
    <row r="149" s="41" customFormat="1" ht="20.149999999999999" customHeight="1" thickTop="1" x14ac:dyDescent="0.35"/>
    <row r="150" s="41" customFormat="1" ht="20.149999999999999" customHeight="1" thickTop="1" x14ac:dyDescent="0.35"/>
    <row r="151" s="41" customFormat="1" ht="20.149999999999999" customHeight="1" thickTop="1" x14ac:dyDescent="0.35"/>
    <row r="152" s="41" customFormat="1" ht="20.149999999999999" customHeight="1" thickTop="1" x14ac:dyDescent="0.35"/>
    <row r="153" s="41" customFormat="1" ht="20.149999999999999" customHeight="1" thickTop="1" x14ac:dyDescent="0.35"/>
    <row r="154" s="41" customFormat="1" ht="20.149999999999999" customHeight="1" thickTop="1" x14ac:dyDescent="0.35"/>
    <row r="155" s="41" customFormat="1" ht="20.149999999999999" customHeight="1" thickTop="1" x14ac:dyDescent="0.35"/>
    <row r="156" s="41" customFormat="1" ht="20.149999999999999" customHeight="1" thickTop="1" x14ac:dyDescent="0.35"/>
    <row r="157" s="41" customFormat="1" ht="20.149999999999999" customHeight="1" thickTop="1" x14ac:dyDescent="0.35"/>
    <row r="158" s="41" customFormat="1" ht="20.149999999999999" customHeight="1" thickTop="1" x14ac:dyDescent="0.35"/>
    <row r="159" s="41" customFormat="1" ht="20.149999999999999" customHeight="1" thickTop="1" x14ac:dyDescent="0.35"/>
    <row r="160" s="41" customFormat="1" ht="20.149999999999999" customHeight="1" thickTop="1" x14ac:dyDescent="0.35"/>
    <row r="161" s="41" customFormat="1" ht="20.149999999999999" customHeight="1" thickTop="1" x14ac:dyDescent="0.35"/>
    <row r="162" s="41" customFormat="1" ht="20.149999999999999" customHeight="1" thickTop="1" x14ac:dyDescent="0.35"/>
    <row r="163" s="41" customFormat="1" ht="20.149999999999999" customHeight="1" thickTop="1" x14ac:dyDescent="0.35"/>
    <row r="164" s="41" customFormat="1" ht="20.149999999999999" customHeight="1" thickTop="1" x14ac:dyDescent="0.35"/>
    <row r="165" s="41" customFormat="1" ht="20.149999999999999" customHeight="1" thickTop="1" x14ac:dyDescent="0.35"/>
    <row r="166" s="41" customFormat="1" ht="20.149999999999999" customHeight="1" thickTop="1" x14ac:dyDescent="0.35"/>
    <row r="167" s="41" customFormat="1" ht="20.149999999999999" customHeight="1" thickTop="1" x14ac:dyDescent="0.35"/>
    <row r="168" s="41" customFormat="1" ht="20.149999999999999" customHeight="1" thickTop="1" x14ac:dyDescent="0.35"/>
    <row r="169" s="41" customFormat="1" ht="20.149999999999999" customHeight="1" thickTop="1" x14ac:dyDescent="0.35"/>
    <row r="170" s="41" customFormat="1" ht="20.149999999999999" customHeight="1" thickTop="1" x14ac:dyDescent="0.35"/>
    <row r="171" s="41" customFormat="1" ht="20.149999999999999" customHeight="1" thickTop="1" x14ac:dyDescent="0.35"/>
    <row r="172" s="41" customFormat="1" ht="20.149999999999999" customHeight="1" thickTop="1" x14ac:dyDescent="0.35"/>
    <row r="173" s="41" customFormat="1" ht="20.149999999999999" customHeight="1" thickTop="1" x14ac:dyDescent="0.35"/>
    <row r="174" s="41" customFormat="1" ht="20.149999999999999" customHeight="1" thickTop="1" x14ac:dyDescent="0.35"/>
    <row r="175" s="41" customFormat="1" ht="20.149999999999999" customHeight="1" thickTop="1" x14ac:dyDescent="0.35"/>
    <row r="176" s="41" customFormat="1" ht="20.149999999999999" customHeight="1" thickTop="1" x14ac:dyDescent="0.35"/>
    <row r="177" s="41" customFormat="1" ht="20.149999999999999" customHeight="1" thickTop="1" x14ac:dyDescent="0.35"/>
    <row r="178" s="41" customFormat="1" ht="20.149999999999999" customHeight="1" thickTop="1" x14ac:dyDescent="0.35"/>
    <row r="179" s="41" customFormat="1" ht="20.149999999999999" customHeight="1" thickTop="1" x14ac:dyDescent="0.35"/>
    <row r="180" s="41" customFormat="1" ht="20.149999999999999" customHeight="1" thickTop="1" x14ac:dyDescent="0.35"/>
    <row r="181" s="41" customFormat="1" ht="20.149999999999999" customHeight="1" thickTop="1" x14ac:dyDescent="0.35"/>
    <row r="182" s="41" customFormat="1" ht="20.149999999999999" customHeight="1" thickTop="1" x14ac:dyDescent="0.35"/>
    <row r="183" s="41" customFormat="1" ht="20.149999999999999" customHeight="1" thickTop="1" x14ac:dyDescent="0.35"/>
    <row r="184" s="41" customFormat="1" ht="20.149999999999999" customHeight="1" thickTop="1" x14ac:dyDescent="0.35"/>
    <row r="185" s="41" customFormat="1" ht="20.149999999999999" customHeight="1" thickTop="1" x14ac:dyDescent="0.35"/>
    <row r="186" s="41" customFormat="1" ht="20.149999999999999" customHeight="1" thickTop="1" x14ac:dyDescent="0.35"/>
    <row r="187" s="41" customFormat="1" ht="20.149999999999999" customHeight="1" thickTop="1" x14ac:dyDescent="0.35"/>
    <row r="188" s="41" customFormat="1" ht="20.149999999999999" customHeight="1" thickTop="1" x14ac:dyDescent="0.35"/>
    <row r="189" s="41" customFormat="1" ht="20.149999999999999" customHeight="1" thickTop="1" x14ac:dyDescent="0.35"/>
    <row r="190" s="41" customFormat="1" ht="20.149999999999999" customHeight="1" thickTop="1" x14ac:dyDescent="0.35"/>
    <row r="191" s="41" customFormat="1" ht="20.149999999999999" customHeight="1" thickTop="1" x14ac:dyDescent="0.35"/>
    <row r="192" s="41" customFormat="1" ht="20.149999999999999" customHeight="1" thickTop="1" x14ac:dyDescent="0.35"/>
    <row r="193" s="41" customFormat="1" ht="20.149999999999999" customHeight="1" thickTop="1" x14ac:dyDescent="0.35"/>
    <row r="194" s="41" customFormat="1" ht="20.149999999999999" customHeight="1" thickTop="1" x14ac:dyDescent="0.35"/>
    <row r="195" s="41" customFormat="1" ht="20.149999999999999" customHeight="1" thickTop="1" x14ac:dyDescent="0.35"/>
    <row r="196" s="41" customFormat="1" ht="20.149999999999999" customHeight="1" thickTop="1" x14ac:dyDescent="0.35"/>
    <row r="197" s="41" customFormat="1" ht="20.149999999999999" customHeight="1" thickTop="1" x14ac:dyDescent="0.35"/>
    <row r="198" s="41" customFormat="1" ht="20.149999999999999" customHeight="1" thickTop="1" x14ac:dyDescent="0.35"/>
    <row r="199" s="41" customFormat="1" ht="20.149999999999999" customHeight="1" thickTop="1" x14ac:dyDescent="0.35"/>
    <row r="200" s="41" customFormat="1" ht="20.149999999999999" customHeight="1" thickTop="1" x14ac:dyDescent="0.35"/>
    <row r="201" s="41" customFormat="1" ht="20.149999999999999" customHeight="1" thickTop="1" x14ac:dyDescent="0.35"/>
    <row r="202" s="41" customFormat="1" ht="20.149999999999999" customHeight="1" thickTop="1" x14ac:dyDescent="0.35"/>
    <row r="203" s="41" customFormat="1" ht="20.149999999999999" customHeight="1" thickTop="1" x14ac:dyDescent="0.35"/>
    <row r="204" s="41" customFormat="1" ht="20.149999999999999" customHeight="1" thickTop="1" x14ac:dyDescent="0.35"/>
    <row r="205" s="41" customFormat="1" ht="20.149999999999999" customHeight="1" thickTop="1" x14ac:dyDescent="0.35"/>
    <row r="206" s="41" customFormat="1" ht="20.149999999999999" customHeight="1" thickTop="1" x14ac:dyDescent="0.35"/>
    <row r="207" s="41" customFormat="1" ht="20.149999999999999" customHeight="1" thickTop="1" x14ac:dyDescent="0.35"/>
    <row r="208" s="41" customFormat="1" ht="20.149999999999999" customHeight="1" thickTop="1" x14ac:dyDescent="0.35"/>
    <row r="209" s="41" customFormat="1" ht="20.149999999999999" customHeight="1" thickTop="1" x14ac:dyDescent="0.35"/>
    <row r="210" s="41" customFormat="1" ht="20.149999999999999" customHeight="1" thickTop="1" x14ac:dyDescent="0.35"/>
    <row r="211" s="41" customFormat="1" ht="20.149999999999999" customHeight="1" thickTop="1" x14ac:dyDescent="0.35"/>
    <row r="212" s="41" customFormat="1" ht="20.149999999999999" customHeight="1" thickTop="1" x14ac:dyDescent="0.35"/>
    <row r="213" s="41" customFormat="1" ht="20.149999999999999" customHeight="1" thickTop="1" x14ac:dyDescent="0.35"/>
    <row r="214" s="41" customFormat="1" ht="20.149999999999999" customHeight="1" thickTop="1" x14ac:dyDescent="0.35"/>
    <row r="215" s="41" customFormat="1" ht="20.149999999999999" customHeight="1" thickTop="1" x14ac:dyDescent="0.35"/>
    <row r="216" s="41" customFormat="1" ht="20.149999999999999" customHeight="1" thickTop="1" x14ac:dyDescent="0.35"/>
    <row r="217" s="41" customFormat="1" ht="20.149999999999999" customHeight="1" thickTop="1" x14ac:dyDescent="0.35"/>
    <row r="218" s="41" customFormat="1" ht="20.149999999999999" customHeight="1" thickTop="1" x14ac:dyDescent="0.35"/>
    <row r="219" s="41" customFormat="1" ht="20.149999999999999" customHeight="1" thickTop="1" x14ac:dyDescent="0.35"/>
    <row r="220" s="41" customFormat="1" ht="20.149999999999999" customHeight="1" thickTop="1" x14ac:dyDescent="0.35"/>
    <row r="221" s="41" customFormat="1" ht="20.149999999999999" customHeight="1" thickTop="1" x14ac:dyDescent="0.35"/>
    <row r="222" s="41" customFormat="1" ht="20.149999999999999" customHeight="1" thickTop="1" x14ac:dyDescent="0.35"/>
    <row r="223" s="41" customFormat="1" ht="20.149999999999999" customHeight="1" thickTop="1" x14ac:dyDescent="0.35"/>
    <row r="224" s="41" customFormat="1" ht="20.149999999999999" customHeight="1" thickTop="1" x14ac:dyDescent="0.35"/>
    <row r="225" s="41" customFormat="1" ht="20.149999999999999" customHeight="1" thickTop="1" x14ac:dyDescent="0.35"/>
    <row r="226" s="41" customFormat="1" ht="20.149999999999999" customHeight="1" thickTop="1" x14ac:dyDescent="0.35"/>
    <row r="227" s="41" customFormat="1" ht="20.149999999999999" customHeight="1" thickTop="1" x14ac:dyDescent="0.35"/>
    <row r="228" s="41" customFormat="1" ht="20.149999999999999" customHeight="1" thickTop="1" x14ac:dyDescent="0.35"/>
    <row r="229" s="41" customFormat="1" ht="20.149999999999999" customHeight="1" thickTop="1" x14ac:dyDescent="0.35"/>
    <row r="230" s="41" customFormat="1" ht="20.149999999999999" customHeight="1" thickTop="1" x14ac:dyDescent="0.35"/>
    <row r="231" s="41" customFormat="1" ht="20.149999999999999" customHeight="1" thickTop="1" x14ac:dyDescent="0.35"/>
    <row r="232" s="41" customFormat="1" ht="20.149999999999999" customHeight="1" thickTop="1" x14ac:dyDescent="0.35"/>
    <row r="233" s="41" customFormat="1" ht="20.149999999999999" customHeight="1" thickTop="1" x14ac:dyDescent="0.35"/>
    <row r="234" s="41" customFormat="1" ht="20.149999999999999" customHeight="1" thickTop="1" x14ac:dyDescent="0.35"/>
    <row r="235" s="41" customFormat="1" ht="20.149999999999999" customHeight="1" thickTop="1" x14ac:dyDescent="0.35"/>
    <row r="236" s="41" customFormat="1" ht="20.149999999999999" customHeight="1" thickTop="1" x14ac:dyDescent="0.35"/>
    <row r="237" s="41" customFormat="1" ht="20.149999999999999" customHeight="1" thickTop="1" x14ac:dyDescent="0.35"/>
    <row r="238" s="41" customFormat="1" ht="20.149999999999999" customHeight="1" thickTop="1" x14ac:dyDescent="0.35"/>
    <row r="239" s="41" customFormat="1" ht="20.149999999999999" customHeight="1" thickTop="1" x14ac:dyDescent="0.35"/>
    <row r="240" s="41" customFormat="1" ht="20.149999999999999" customHeight="1" thickTop="1" x14ac:dyDescent="0.35"/>
    <row r="241" s="41" customFormat="1" ht="20.149999999999999" customHeight="1" thickTop="1" x14ac:dyDescent="0.35"/>
    <row r="242" s="41" customFormat="1" ht="20.149999999999999" customHeight="1" thickTop="1" x14ac:dyDescent="0.35"/>
    <row r="243" s="41" customFormat="1" ht="20.149999999999999" customHeight="1" thickTop="1" x14ac:dyDescent="0.35"/>
    <row r="244" s="41" customFormat="1" ht="20.149999999999999" customHeight="1" thickTop="1" x14ac:dyDescent="0.35"/>
    <row r="245" s="41" customFormat="1" ht="20.149999999999999" customHeight="1" thickTop="1" x14ac:dyDescent="0.35"/>
    <row r="246" s="41" customFormat="1" ht="20.149999999999999" customHeight="1" thickTop="1" x14ac:dyDescent="0.35"/>
    <row r="247" s="41" customFormat="1" ht="20.149999999999999" customHeight="1" thickTop="1" x14ac:dyDescent="0.35"/>
    <row r="248" s="41" customFormat="1" ht="20.149999999999999" customHeight="1" thickTop="1" x14ac:dyDescent="0.35"/>
    <row r="249" s="41" customFormat="1" ht="20.149999999999999" customHeight="1" thickTop="1" x14ac:dyDescent="0.35"/>
    <row r="250" s="41" customFormat="1" ht="20.149999999999999" customHeight="1" thickTop="1" x14ac:dyDescent="0.35"/>
    <row r="251" s="41" customFormat="1" ht="20.149999999999999" customHeight="1" thickTop="1" x14ac:dyDescent="0.35"/>
    <row r="252" s="41" customFormat="1" ht="20.149999999999999" customHeight="1" thickTop="1" x14ac:dyDescent="0.35"/>
    <row r="253" s="41" customFormat="1" ht="20.149999999999999" customHeight="1" thickTop="1" x14ac:dyDescent="0.35"/>
    <row r="254" s="41" customFormat="1" ht="20.149999999999999" customHeight="1" thickTop="1" x14ac:dyDescent="0.35"/>
    <row r="255" s="41" customFormat="1" ht="20.149999999999999" customHeight="1" thickTop="1" x14ac:dyDescent="0.35"/>
    <row r="256" s="41" customFormat="1" ht="20.149999999999999" customHeight="1" thickTop="1" x14ac:dyDescent="0.35"/>
    <row r="257" s="41" customFormat="1" ht="20.149999999999999" customHeight="1" thickTop="1" x14ac:dyDescent="0.35"/>
    <row r="258" s="41" customFormat="1" ht="20.149999999999999" customHeight="1" thickTop="1" x14ac:dyDescent="0.35"/>
    <row r="259" s="41" customFormat="1" ht="20.149999999999999" customHeight="1" thickTop="1" x14ac:dyDescent="0.35"/>
    <row r="260" s="41" customFormat="1" ht="20.149999999999999" customHeight="1" thickTop="1" x14ac:dyDescent="0.35"/>
    <row r="261" s="41" customFormat="1" ht="20.149999999999999" customHeight="1" thickTop="1" x14ac:dyDescent="0.35"/>
    <row r="262" s="41" customFormat="1" ht="20.149999999999999" customHeight="1" thickTop="1" x14ac:dyDescent="0.35"/>
    <row r="263" s="41" customFormat="1" ht="20.149999999999999" customHeight="1" thickTop="1" x14ac:dyDescent="0.35"/>
    <row r="264" s="41" customFormat="1" ht="20.149999999999999" customHeight="1" thickTop="1" x14ac:dyDescent="0.35"/>
    <row r="265" s="41" customFormat="1" ht="20.149999999999999" customHeight="1" thickTop="1" x14ac:dyDescent="0.35"/>
    <row r="266" s="41" customFormat="1" ht="20.149999999999999" customHeight="1" thickTop="1" x14ac:dyDescent="0.35"/>
    <row r="267" s="41" customFormat="1" ht="20.149999999999999" customHeight="1" thickTop="1" x14ac:dyDescent="0.35"/>
    <row r="268" s="41" customFormat="1" ht="20.149999999999999" customHeight="1" thickTop="1" x14ac:dyDescent="0.35"/>
    <row r="269" s="41" customFormat="1" ht="20.149999999999999" customHeight="1" thickTop="1" x14ac:dyDescent="0.35"/>
    <row r="270" s="41" customFormat="1" ht="20.149999999999999" customHeight="1" thickTop="1" x14ac:dyDescent="0.35"/>
    <row r="271" s="41" customFormat="1" ht="20.149999999999999" customHeight="1" thickTop="1" x14ac:dyDescent="0.35"/>
    <row r="272" s="41" customFormat="1" ht="20.149999999999999" customHeight="1" thickTop="1" x14ac:dyDescent="0.35"/>
    <row r="273" s="41" customFormat="1" ht="20.149999999999999" customHeight="1" thickTop="1" x14ac:dyDescent="0.35"/>
    <row r="274" s="41" customFormat="1" ht="20.149999999999999" customHeight="1" thickTop="1" x14ac:dyDescent="0.35"/>
    <row r="275" s="41" customFormat="1" ht="20.149999999999999" customHeight="1" thickTop="1" x14ac:dyDescent="0.35"/>
    <row r="276" s="41" customFormat="1" ht="20.149999999999999" customHeight="1" thickTop="1" x14ac:dyDescent="0.35"/>
    <row r="277" s="41" customFormat="1" ht="20.149999999999999" customHeight="1" thickTop="1" x14ac:dyDescent="0.35"/>
    <row r="278" s="41" customFormat="1" ht="20.149999999999999" customHeight="1" thickTop="1" x14ac:dyDescent="0.35"/>
    <row r="279" s="41" customFormat="1" ht="20.149999999999999" customHeight="1" thickTop="1" x14ac:dyDescent="0.35"/>
    <row r="280" s="41" customFormat="1" ht="20.149999999999999" customHeight="1" thickTop="1" x14ac:dyDescent="0.35"/>
    <row r="281" s="41" customFormat="1" ht="20.149999999999999" customHeight="1" thickTop="1" x14ac:dyDescent="0.35"/>
    <row r="282" s="41" customFormat="1" ht="20.149999999999999" customHeight="1" thickTop="1" x14ac:dyDescent="0.35"/>
    <row r="283" s="41" customFormat="1" ht="20.149999999999999" customHeight="1" thickTop="1" x14ac:dyDescent="0.35"/>
    <row r="284" s="41" customFormat="1" ht="20.149999999999999" customHeight="1" thickTop="1" x14ac:dyDescent="0.35"/>
    <row r="285" s="41" customFormat="1" ht="20.149999999999999" customHeight="1" thickTop="1" x14ac:dyDescent="0.35"/>
    <row r="286" s="41" customFormat="1" ht="20.149999999999999" customHeight="1" thickTop="1" x14ac:dyDescent="0.35"/>
    <row r="287" s="41" customFormat="1" ht="20.149999999999999" customHeight="1" thickTop="1" x14ac:dyDescent="0.35"/>
    <row r="288" s="41" customFormat="1" ht="20.149999999999999" customHeight="1" thickTop="1" x14ac:dyDescent="0.35"/>
    <row r="289" s="41" customFormat="1" ht="20.149999999999999" customHeight="1" thickTop="1" x14ac:dyDescent="0.35"/>
    <row r="290" s="41" customFormat="1" ht="20.149999999999999" customHeight="1" thickTop="1" x14ac:dyDescent="0.35"/>
    <row r="291" s="41" customFormat="1" ht="20.149999999999999" customHeight="1" thickTop="1" x14ac:dyDescent="0.35"/>
    <row r="292" s="41" customFormat="1" ht="20.149999999999999" customHeight="1" thickTop="1" x14ac:dyDescent="0.35"/>
    <row r="293" s="41" customFormat="1" ht="20.149999999999999" customHeight="1" thickTop="1" x14ac:dyDescent="0.35"/>
    <row r="294" s="41" customFormat="1" ht="20.149999999999999" customHeight="1" thickTop="1" x14ac:dyDescent="0.35"/>
    <row r="295" s="41" customFormat="1" ht="20.149999999999999" customHeight="1" thickTop="1" x14ac:dyDescent="0.35"/>
    <row r="296" s="41" customFormat="1" ht="20.149999999999999" customHeight="1" thickTop="1" x14ac:dyDescent="0.35"/>
    <row r="297" s="41" customFormat="1" ht="20.149999999999999" customHeight="1" thickTop="1" x14ac:dyDescent="0.35"/>
    <row r="298" s="41" customFormat="1" ht="20.149999999999999" customHeight="1" thickTop="1" x14ac:dyDescent="0.35"/>
    <row r="299" s="41" customFormat="1" ht="20.149999999999999" customHeight="1" thickTop="1" x14ac:dyDescent="0.35"/>
    <row r="300" s="41" customFormat="1" ht="20.149999999999999" customHeight="1" thickTop="1" x14ac:dyDescent="0.35"/>
    <row r="301" s="41" customFormat="1" ht="20.149999999999999" customHeight="1" thickTop="1" x14ac:dyDescent="0.35"/>
    <row r="302" s="41" customFormat="1" ht="20.149999999999999" customHeight="1" thickTop="1" x14ac:dyDescent="0.35"/>
    <row r="303" s="41" customFormat="1" ht="20.149999999999999" customHeight="1" thickTop="1" x14ac:dyDescent="0.35"/>
    <row r="304" s="41" customFormat="1" ht="20.149999999999999" customHeight="1" thickTop="1" x14ac:dyDescent="0.35"/>
    <row r="305" s="41" customFormat="1" ht="20.149999999999999" customHeight="1" thickTop="1" x14ac:dyDescent="0.35"/>
    <row r="306" s="41" customFormat="1" ht="20.149999999999999" customHeight="1" thickTop="1" x14ac:dyDescent="0.35"/>
    <row r="307" s="41" customFormat="1" ht="20.149999999999999" customHeight="1" thickTop="1" x14ac:dyDescent="0.35"/>
    <row r="308" s="41" customFormat="1" ht="20.149999999999999" customHeight="1" thickTop="1" x14ac:dyDescent="0.35"/>
    <row r="309" s="41" customFormat="1" ht="20.149999999999999" customHeight="1" thickTop="1" x14ac:dyDescent="0.35"/>
    <row r="310" s="41" customFormat="1" ht="20.149999999999999" customHeight="1" thickTop="1" x14ac:dyDescent="0.35"/>
    <row r="311" s="41" customFormat="1" ht="20.149999999999999" customHeight="1" thickTop="1" x14ac:dyDescent="0.35"/>
    <row r="312" s="41" customFormat="1" ht="20.149999999999999" customHeight="1" thickTop="1" x14ac:dyDescent="0.35"/>
    <row r="313" s="41" customFormat="1" ht="20.149999999999999" customHeight="1" thickTop="1" x14ac:dyDescent="0.35"/>
    <row r="314" s="41" customFormat="1" ht="20.149999999999999" customHeight="1" thickTop="1" x14ac:dyDescent="0.35"/>
    <row r="315" s="41" customFormat="1" ht="20.149999999999999" customHeight="1" thickTop="1" x14ac:dyDescent="0.35"/>
    <row r="316" s="41" customFormat="1" ht="20.149999999999999" customHeight="1" thickTop="1" x14ac:dyDescent="0.35"/>
    <row r="317" s="41" customFormat="1" ht="20.149999999999999" customHeight="1" thickTop="1" x14ac:dyDescent="0.35"/>
    <row r="318" s="41" customFormat="1" ht="20.149999999999999" customHeight="1" thickTop="1" x14ac:dyDescent="0.35"/>
    <row r="319" s="41" customFormat="1" ht="20.149999999999999" customHeight="1" thickTop="1" x14ac:dyDescent="0.35"/>
    <row r="320" s="41" customFormat="1" ht="20.149999999999999" customHeight="1" thickTop="1" x14ac:dyDescent="0.35"/>
    <row r="321" s="41" customFormat="1" ht="20.149999999999999" customHeight="1" thickTop="1" x14ac:dyDescent="0.35"/>
    <row r="322" s="41" customFormat="1" ht="20.149999999999999" customHeight="1" thickTop="1" x14ac:dyDescent="0.35"/>
    <row r="323" s="41" customFormat="1" ht="20.149999999999999" customHeight="1" thickTop="1" x14ac:dyDescent="0.35"/>
    <row r="324" s="41" customFormat="1" ht="20.149999999999999" customHeight="1" thickTop="1" x14ac:dyDescent="0.35"/>
    <row r="325" s="41" customFormat="1" ht="20.149999999999999" customHeight="1" thickTop="1" x14ac:dyDescent="0.35"/>
    <row r="326" s="41" customFormat="1" ht="20.149999999999999" customHeight="1" thickTop="1" x14ac:dyDescent="0.35"/>
    <row r="327" s="41" customFormat="1" ht="20.149999999999999" customHeight="1" thickTop="1" x14ac:dyDescent="0.35"/>
    <row r="328" s="41" customFormat="1" ht="20.149999999999999" customHeight="1" thickTop="1" x14ac:dyDescent="0.35"/>
    <row r="329" s="41" customFormat="1" ht="20.149999999999999" customHeight="1" thickTop="1" x14ac:dyDescent="0.35"/>
    <row r="330" s="41" customFormat="1" ht="20.149999999999999" customHeight="1" thickTop="1" x14ac:dyDescent="0.35"/>
    <row r="331" s="41" customFormat="1" ht="20.149999999999999" customHeight="1" thickTop="1" x14ac:dyDescent="0.35"/>
    <row r="332" s="41" customFormat="1" ht="20.149999999999999" customHeight="1" thickTop="1" x14ac:dyDescent="0.35"/>
    <row r="333" s="41" customFormat="1" ht="20.149999999999999" customHeight="1" thickTop="1" x14ac:dyDescent="0.35"/>
    <row r="334" s="41" customFormat="1" ht="20.149999999999999" customHeight="1" thickTop="1" x14ac:dyDescent="0.35"/>
    <row r="335" s="41" customFormat="1" ht="20.149999999999999" customHeight="1" thickTop="1" x14ac:dyDescent="0.35"/>
    <row r="336" s="41" customFormat="1" ht="20.149999999999999" customHeight="1" thickTop="1" x14ac:dyDescent="0.35"/>
    <row r="337" s="41" customFormat="1" ht="20.149999999999999" customHeight="1" thickTop="1" x14ac:dyDescent="0.35"/>
    <row r="338" s="41" customFormat="1" ht="20.149999999999999" customHeight="1" thickTop="1" x14ac:dyDescent="0.35"/>
    <row r="339" s="41" customFormat="1" ht="20.149999999999999" customHeight="1" thickTop="1" x14ac:dyDescent="0.35"/>
    <row r="340" s="41" customFormat="1" ht="20.149999999999999" customHeight="1" thickTop="1" x14ac:dyDescent="0.35"/>
    <row r="341" s="41" customFormat="1" ht="20.149999999999999" customHeight="1" thickTop="1" x14ac:dyDescent="0.35"/>
    <row r="342" s="41" customFormat="1" ht="20.149999999999999" customHeight="1" thickTop="1" x14ac:dyDescent="0.35"/>
    <row r="343" s="41" customFormat="1" ht="20.149999999999999" customHeight="1" thickTop="1" x14ac:dyDescent="0.35"/>
    <row r="344" s="41" customFormat="1" ht="20.149999999999999" customHeight="1" thickTop="1" x14ac:dyDescent="0.35"/>
    <row r="345" s="41" customFormat="1" ht="20.149999999999999" customHeight="1" thickTop="1" x14ac:dyDescent="0.35"/>
    <row r="346" s="41" customFormat="1" ht="20.149999999999999" customHeight="1" thickTop="1" x14ac:dyDescent="0.35"/>
    <row r="347" s="41" customFormat="1" ht="20.149999999999999" customHeight="1" thickTop="1" x14ac:dyDescent="0.35"/>
    <row r="348" s="41" customFormat="1" ht="20.149999999999999" customHeight="1" thickTop="1" x14ac:dyDescent="0.35"/>
    <row r="349" s="41" customFormat="1" ht="20.149999999999999" customHeight="1" thickTop="1" x14ac:dyDescent="0.35"/>
    <row r="350" s="41" customFormat="1" ht="20.149999999999999" customHeight="1" thickTop="1" x14ac:dyDescent="0.35"/>
    <row r="351" s="41" customFormat="1" ht="20.149999999999999" customHeight="1" thickTop="1" x14ac:dyDescent="0.35"/>
    <row r="352" s="41" customFormat="1" ht="20.149999999999999" customHeight="1" thickTop="1" x14ac:dyDescent="0.35"/>
    <row r="353" s="41" customFormat="1" ht="20.149999999999999" customHeight="1" thickTop="1" x14ac:dyDescent="0.35"/>
    <row r="354" s="41" customFormat="1" ht="20.149999999999999" customHeight="1" thickTop="1" x14ac:dyDescent="0.35"/>
    <row r="355" s="41" customFormat="1" ht="20.149999999999999" customHeight="1" thickTop="1" x14ac:dyDescent="0.35"/>
    <row r="356" s="41" customFormat="1" ht="20.149999999999999" customHeight="1" thickTop="1" x14ac:dyDescent="0.35"/>
    <row r="357" s="41" customFormat="1" ht="20.149999999999999" customHeight="1" thickTop="1" x14ac:dyDescent="0.35"/>
    <row r="358" s="41" customFormat="1" ht="20.149999999999999" customHeight="1" thickTop="1" x14ac:dyDescent="0.35"/>
    <row r="359" s="41" customFormat="1" ht="20.149999999999999" customHeight="1" thickTop="1" x14ac:dyDescent="0.35"/>
    <row r="360" s="41" customFormat="1" ht="20.149999999999999" customHeight="1" thickTop="1" x14ac:dyDescent="0.35"/>
    <row r="361" s="41" customFormat="1" ht="20.149999999999999" customHeight="1" thickTop="1" x14ac:dyDescent="0.35"/>
    <row r="362" s="41" customFormat="1" ht="20.149999999999999" customHeight="1" thickTop="1" x14ac:dyDescent="0.35"/>
    <row r="363" s="41" customFormat="1" ht="20.149999999999999" customHeight="1" thickTop="1" x14ac:dyDescent="0.35"/>
    <row r="364" s="41" customFormat="1" ht="20.149999999999999" customHeight="1" thickTop="1" x14ac:dyDescent="0.35"/>
    <row r="365" s="41" customFormat="1" ht="20.149999999999999" customHeight="1" thickTop="1" x14ac:dyDescent="0.35"/>
    <row r="366" s="41" customFormat="1" ht="20.149999999999999" customHeight="1" thickTop="1" x14ac:dyDescent="0.35"/>
    <row r="367" s="41" customFormat="1" ht="20.149999999999999" customHeight="1" thickTop="1" x14ac:dyDescent="0.35"/>
    <row r="368" s="41" customFormat="1" ht="20.149999999999999" customHeight="1" thickTop="1" x14ac:dyDescent="0.35"/>
    <row r="369" s="41" customFormat="1" ht="20.149999999999999" customHeight="1" thickTop="1" x14ac:dyDescent="0.35"/>
    <row r="370" s="41" customFormat="1" ht="20.149999999999999" customHeight="1" thickTop="1" x14ac:dyDescent="0.35"/>
    <row r="371" s="41" customFormat="1" ht="20.149999999999999" customHeight="1" thickTop="1" x14ac:dyDescent="0.35"/>
    <row r="372" s="41" customFormat="1" ht="20.149999999999999" customHeight="1" thickTop="1" x14ac:dyDescent="0.35"/>
    <row r="373" s="41" customFormat="1" ht="20.149999999999999" customHeight="1" thickTop="1" x14ac:dyDescent="0.35"/>
    <row r="374" s="41" customFormat="1" ht="20.149999999999999" customHeight="1" thickTop="1" x14ac:dyDescent="0.35"/>
    <row r="375" s="41" customFormat="1" ht="20.149999999999999" customHeight="1" thickTop="1" x14ac:dyDescent="0.35"/>
    <row r="376" s="41" customFormat="1" ht="20.149999999999999" customHeight="1" thickTop="1" x14ac:dyDescent="0.35"/>
    <row r="377" s="41" customFormat="1" ht="20.149999999999999" customHeight="1" thickTop="1" x14ac:dyDescent="0.35"/>
    <row r="378" s="41" customFormat="1" ht="20.149999999999999" customHeight="1" thickTop="1" x14ac:dyDescent="0.35"/>
    <row r="379" s="41" customFormat="1" ht="20.149999999999999" customHeight="1" thickTop="1" x14ac:dyDescent="0.35"/>
    <row r="380" s="41" customFormat="1" ht="20.149999999999999" customHeight="1" thickTop="1" x14ac:dyDescent="0.35"/>
    <row r="381" s="41" customFormat="1" ht="20.149999999999999" customHeight="1" thickTop="1" x14ac:dyDescent="0.35"/>
    <row r="382" s="41" customFormat="1" ht="20.149999999999999" customHeight="1" thickTop="1" x14ac:dyDescent="0.35"/>
    <row r="383" s="41" customFormat="1" ht="20.149999999999999" customHeight="1" thickTop="1" x14ac:dyDescent="0.35"/>
    <row r="384" s="41" customFormat="1" ht="20.149999999999999" customHeight="1" thickTop="1" x14ac:dyDescent="0.35"/>
    <row r="385" s="41" customFormat="1" ht="20.149999999999999" customHeight="1" thickTop="1" x14ac:dyDescent="0.35"/>
    <row r="386" s="41" customFormat="1" ht="20.149999999999999" customHeight="1" thickTop="1" x14ac:dyDescent="0.35"/>
    <row r="387" s="41" customFormat="1" ht="20.149999999999999" customHeight="1" thickTop="1" x14ac:dyDescent="0.35"/>
    <row r="388" s="41" customFormat="1" ht="20.149999999999999" customHeight="1" thickTop="1" x14ac:dyDescent="0.35"/>
    <row r="389" s="41" customFormat="1" ht="20.149999999999999" customHeight="1" thickTop="1" x14ac:dyDescent="0.35"/>
    <row r="390" s="41" customFormat="1" ht="20.149999999999999" customHeight="1" thickTop="1" x14ac:dyDescent="0.35"/>
    <row r="391" s="41" customFormat="1" ht="20.149999999999999" customHeight="1" thickTop="1" x14ac:dyDescent="0.35"/>
    <row r="392" s="41" customFormat="1" ht="20.149999999999999" customHeight="1" thickTop="1" x14ac:dyDescent="0.35"/>
    <row r="393" s="41" customFormat="1" ht="20.149999999999999" customHeight="1" thickTop="1" x14ac:dyDescent="0.35"/>
    <row r="394" s="41" customFormat="1" ht="20.149999999999999" customHeight="1" thickTop="1" x14ac:dyDescent="0.35"/>
    <row r="395" s="41" customFormat="1" ht="20.149999999999999" customHeight="1" thickTop="1" x14ac:dyDescent="0.35"/>
    <row r="396" s="41" customFormat="1" ht="20.149999999999999" customHeight="1" thickTop="1" x14ac:dyDescent="0.35"/>
    <row r="397" s="41" customFormat="1" ht="20.149999999999999" customHeight="1" thickTop="1" x14ac:dyDescent="0.35"/>
    <row r="398" s="41" customFormat="1" ht="20.149999999999999" customHeight="1" thickTop="1" x14ac:dyDescent="0.35"/>
    <row r="399" s="41" customFormat="1" ht="20.149999999999999" customHeight="1" thickTop="1" x14ac:dyDescent="0.35"/>
    <row r="400" s="41" customFormat="1" ht="20.149999999999999" customHeight="1" thickTop="1" x14ac:dyDescent="0.35"/>
    <row r="401" s="41" customFormat="1" ht="20.149999999999999" customHeight="1" thickTop="1" x14ac:dyDescent="0.35"/>
    <row r="402" s="41" customFormat="1" ht="20.149999999999999" customHeight="1" thickTop="1" x14ac:dyDescent="0.35"/>
    <row r="403" s="41" customFormat="1" ht="20.149999999999999" customHeight="1" thickTop="1" x14ac:dyDescent="0.35"/>
    <row r="404" s="41" customFormat="1" ht="20.149999999999999" customHeight="1" thickTop="1" x14ac:dyDescent="0.35"/>
    <row r="405" s="41" customFormat="1" ht="20.149999999999999" customHeight="1" thickTop="1" x14ac:dyDescent="0.35"/>
    <row r="406" s="41" customFormat="1" ht="20.149999999999999" customHeight="1" thickTop="1" x14ac:dyDescent="0.35"/>
    <row r="407" s="41" customFormat="1" ht="20.149999999999999" customHeight="1" thickTop="1" x14ac:dyDescent="0.35"/>
    <row r="408" s="41" customFormat="1" ht="20.149999999999999" customHeight="1" thickTop="1" x14ac:dyDescent="0.35"/>
    <row r="409" s="41" customFormat="1" ht="20.149999999999999" customHeight="1" thickTop="1" x14ac:dyDescent="0.35"/>
    <row r="410" s="41" customFormat="1" ht="20.149999999999999" customHeight="1" thickTop="1" x14ac:dyDescent="0.35"/>
    <row r="411" s="41" customFormat="1" ht="20.149999999999999" customHeight="1" thickTop="1" x14ac:dyDescent="0.35"/>
    <row r="412" s="41" customFormat="1" ht="20.149999999999999" customHeight="1" thickTop="1" x14ac:dyDescent="0.35"/>
    <row r="413" s="41" customFormat="1" ht="20.149999999999999" customHeight="1" thickTop="1" x14ac:dyDescent="0.35"/>
    <row r="414" s="41" customFormat="1" ht="20.149999999999999" customHeight="1" thickTop="1" x14ac:dyDescent="0.35"/>
    <row r="415" s="41" customFormat="1" ht="20.149999999999999" customHeight="1" thickTop="1" x14ac:dyDescent="0.35"/>
    <row r="416" s="41" customFormat="1" ht="20.149999999999999" customHeight="1" thickTop="1" x14ac:dyDescent="0.35"/>
    <row r="417" s="41" customFormat="1" ht="20.149999999999999" customHeight="1" thickTop="1" x14ac:dyDescent="0.35"/>
    <row r="418" s="41" customFormat="1" ht="20.149999999999999" customHeight="1" thickTop="1" x14ac:dyDescent="0.35"/>
    <row r="419" s="41" customFormat="1" ht="20.149999999999999" customHeight="1" thickTop="1" x14ac:dyDescent="0.35"/>
    <row r="420" s="41" customFormat="1" ht="20.149999999999999" customHeight="1" thickTop="1" x14ac:dyDescent="0.35"/>
    <row r="421" s="41" customFormat="1" ht="20.149999999999999" customHeight="1" thickTop="1" x14ac:dyDescent="0.35"/>
    <row r="422" s="41" customFormat="1" ht="20.149999999999999" customHeight="1" thickTop="1" x14ac:dyDescent="0.35"/>
    <row r="423" s="41" customFormat="1" ht="20.149999999999999" customHeight="1" thickTop="1" x14ac:dyDescent="0.35"/>
    <row r="424" s="41" customFormat="1" ht="20.149999999999999" customHeight="1" thickTop="1" x14ac:dyDescent="0.35"/>
    <row r="425" s="41" customFormat="1" ht="20.149999999999999" customHeight="1" thickTop="1" x14ac:dyDescent="0.35"/>
    <row r="426" s="41" customFormat="1" ht="20.149999999999999" customHeight="1" thickTop="1" x14ac:dyDescent="0.35"/>
    <row r="427" s="41" customFormat="1" ht="20.149999999999999" customHeight="1" thickTop="1" x14ac:dyDescent="0.35"/>
    <row r="428" s="41" customFormat="1" ht="20.149999999999999" customHeight="1" thickTop="1" x14ac:dyDescent="0.35"/>
    <row r="429" s="41" customFormat="1" ht="20.149999999999999" customHeight="1" thickTop="1" x14ac:dyDescent="0.35"/>
    <row r="430" s="41" customFormat="1" ht="20.149999999999999" customHeight="1" thickTop="1" x14ac:dyDescent="0.35"/>
    <row r="431" s="41" customFormat="1" ht="20.149999999999999" customHeight="1" thickTop="1" x14ac:dyDescent="0.35"/>
    <row r="432" s="41" customFormat="1" ht="20.149999999999999" customHeight="1" thickTop="1" x14ac:dyDescent="0.35"/>
    <row r="433" s="41" customFormat="1" ht="20.149999999999999" customHeight="1" thickTop="1" x14ac:dyDescent="0.35"/>
    <row r="434" s="41" customFormat="1" ht="20.149999999999999" customHeight="1" thickTop="1" x14ac:dyDescent="0.35"/>
    <row r="435" s="41" customFormat="1" ht="20.149999999999999" customHeight="1" thickTop="1" x14ac:dyDescent="0.35"/>
    <row r="436" s="41" customFormat="1" ht="20.149999999999999" customHeight="1" thickTop="1" x14ac:dyDescent="0.35"/>
    <row r="437" s="41" customFormat="1" ht="20.149999999999999" customHeight="1" thickTop="1" x14ac:dyDescent="0.35"/>
    <row r="438" s="41" customFormat="1" ht="20.149999999999999" customHeight="1" thickTop="1" x14ac:dyDescent="0.35"/>
    <row r="439" s="41" customFormat="1" ht="20.149999999999999" customHeight="1" thickTop="1" x14ac:dyDescent="0.35"/>
    <row r="440" s="41" customFormat="1" ht="20.149999999999999" customHeight="1" thickTop="1" x14ac:dyDescent="0.35"/>
    <row r="441" s="41" customFormat="1" ht="20.149999999999999" customHeight="1" thickTop="1" x14ac:dyDescent="0.35"/>
    <row r="442" s="41" customFormat="1" ht="20.149999999999999" customHeight="1" thickTop="1" x14ac:dyDescent="0.35"/>
    <row r="443" s="41" customFormat="1" ht="20.149999999999999" customHeight="1" thickTop="1" x14ac:dyDescent="0.35"/>
    <row r="444" s="41" customFormat="1" ht="20.149999999999999" customHeight="1" thickTop="1" x14ac:dyDescent="0.35"/>
    <row r="445" s="41" customFormat="1" ht="20.149999999999999" customHeight="1" thickTop="1" x14ac:dyDescent="0.35"/>
    <row r="446" s="41" customFormat="1" ht="20.149999999999999" customHeight="1" thickTop="1" x14ac:dyDescent="0.35"/>
    <row r="447" s="41" customFormat="1" ht="20.149999999999999" customHeight="1" thickTop="1" x14ac:dyDescent="0.35"/>
    <row r="448" s="41" customFormat="1" ht="20.149999999999999" customHeight="1" thickTop="1" x14ac:dyDescent="0.35"/>
    <row r="449" s="41" customFormat="1" ht="20.149999999999999" customHeight="1" thickTop="1" x14ac:dyDescent="0.35"/>
    <row r="450" s="41" customFormat="1" ht="20.149999999999999" customHeight="1" thickTop="1" x14ac:dyDescent="0.35"/>
    <row r="451" s="41" customFormat="1" ht="20.149999999999999" customHeight="1" thickTop="1" x14ac:dyDescent="0.35"/>
    <row r="452" s="41" customFormat="1" ht="20.149999999999999" customHeight="1" thickTop="1" x14ac:dyDescent="0.35"/>
    <row r="453" s="41" customFormat="1" ht="20.149999999999999" customHeight="1" thickTop="1" x14ac:dyDescent="0.35"/>
    <row r="454" s="41" customFormat="1" ht="20.149999999999999" customHeight="1" thickTop="1" x14ac:dyDescent="0.35"/>
    <row r="455" s="41" customFormat="1" ht="20.149999999999999" customHeight="1" thickTop="1" x14ac:dyDescent="0.35"/>
    <row r="456" s="41" customFormat="1" ht="20.149999999999999" customHeight="1" thickTop="1" x14ac:dyDescent="0.35"/>
    <row r="457" s="41" customFormat="1" ht="20.149999999999999" customHeight="1" thickTop="1" x14ac:dyDescent="0.35"/>
    <row r="458" s="41" customFormat="1" ht="20.149999999999999" customHeight="1" thickTop="1" x14ac:dyDescent="0.35"/>
    <row r="459" s="41" customFormat="1" ht="20.149999999999999" customHeight="1" thickTop="1" x14ac:dyDescent="0.35"/>
    <row r="460" s="41" customFormat="1" ht="20.149999999999999" customHeight="1" thickTop="1" x14ac:dyDescent="0.35"/>
    <row r="461" s="41" customFormat="1" ht="20.149999999999999" customHeight="1" thickTop="1" x14ac:dyDescent="0.35"/>
    <row r="462" s="41" customFormat="1" ht="20.149999999999999" customHeight="1" thickTop="1" x14ac:dyDescent="0.35"/>
    <row r="463" s="41" customFormat="1" ht="20.149999999999999" customHeight="1" thickTop="1" x14ac:dyDescent="0.35"/>
    <row r="464" s="41" customFormat="1" ht="20.149999999999999" customHeight="1" thickTop="1" x14ac:dyDescent="0.35"/>
    <row r="465" s="41" customFormat="1" ht="20.149999999999999" customHeight="1" thickTop="1" x14ac:dyDescent="0.35"/>
    <row r="466" s="41" customFormat="1" ht="20.149999999999999" customHeight="1" thickTop="1" x14ac:dyDescent="0.35"/>
    <row r="467" s="41" customFormat="1" ht="20.149999999999999" customHeight="1" thickTop="1" x14ac:dyDescent="0.35"/>
    <row r="468" s="41" customFormat="1" ht="20.149999999999999" customHeight="1" thickTop="1" x14ac:dyDescent="0.35"/>
    <row r="469" s="41" customFormat="1" ht="20.149999999999999" customHeight="1" thickTop="1" x14ac:dyDescent="0.35"/>
    <row r="470" s="41" customFormat="1" ht="20.149999999999999" customHeight="1" thickTop="1" x14ac:dyDescent="0.35"/>
    <row r="471" s="41" customFormat="1" ht="20.149999999999999" customHeight="1" thickTop="1" x14ac:dyDescent="0.35"/>
    <row r="472" s="41" customFormat="1" ht="20.149999999999999" customHeight="1" thickTop="1" x14ac:dyDescent="0.35"/>
    <row r="473" s="41" customFormat="1" ht="20.149999999999999" customHeight="1" thickTop="1" x14ac:dyDescent="0.35"/>
    <row r="474" s="41" customFormat="1" ht="20.149999999999999" customHeight="1" thickTop="1" x14ac:dyDescent="0.35"/>
    <row r="475" s="41" customFormat="1" ht="20.149999999999999" customHeight="1" thickTop="1" x14ac:dyDescent="0.35"/>
    <row r="476" s="41" customFormat="1" ht="20.149999999999999" customHeight="1" thickTop="1" x14ac:dyDescent="0.35"/>
    <row r="477" s="41" customFormat="1" ht="20.149999999999999" customHeight="1" thickTop="1" x14ac:dyDescent="0.35"/>
    <row r="478" s="41" customFormat="1" ht="20.149999999999999" customHeight="1" thickTop="1" x14ac:dyDescent="0.35"/>
    <row r="479" s="41" customFormat="1" ht="20.149999999999999" customHeight="1" thickTop="1" x14ac:dyDescent="0.35"/>
    <row r="480" s="41" customFormat="1" ht="20.149999999999999" customHeight="1" thickTop="1" x14ac:dyDescent="0.35"/>
    <row r="481" s="41" customFormat="1" ht="20.149999999999999" customHeight="1" thickTop="1" x14ac:dyDescent="0.35"/>
    <row r="482" s="41" customFormat="1" ht="20.149999999999999" customHeight="1" thickTop="1" x14ac:dyDescent="0.35"/>
    <row r="483" s="41" customFormat="1" ht="20.149999999999999" customHeight="1" thickTop="1" x14ac:dyDescent="0.35"/>
    <row r="484" s="41" customFormat="1" ht="20.149999999999999" customHeight="1" thickTop="1" x14ac:dyDescent="0.35"/>
    <row r="485" s="41" customFormat="1" ht="20.149999999999999" customHeight="1" thickTop="1" x14ac:dyDescent="0.35"/>
    <row r="486" s="41" customFormat="1" ht="20.149999999999999" customHeight="1" thickTop="1" x14ac:dyDescent="0.35"/>
    <row r="487" s="41" customFormat="1" ht="20.149999999999999" customHeight="1" thickTop="1" x14ac:dyDescent="0.35"/>
    <row r="488" s="41" customFormat="1" ht="20.149999999999999" customHeight="1" thickTop="1" x14ac:dyDescent="0.35"/>
    <row r="489" s="41" customFormat="1" ht="20.149999999999999" customHeight="1" thickTop="1" x14ac:dyDescent="0.35"/>
    <row r="490" s="41" customFormat="1" ht="20.149999999999999" customHeight="1" thickTop="1" x14ac:dyDescent="0.35"/>
    <row r="491" s="41" customFormat="1" ht="20.149999999999999" customHeight="1" thickTop="1" x14ac:dyDescent="0.35"/>
    <row r="492" s="41" customFormat="1" ht="20.149999999999999" customHeight="1" thickTop="1" x14ac:dyDescent="0.35"/>
    <row r="493" s="41" customFormat="1" ht="20.149999999999999" customHeight="1" thickTop="1" x14ac:dyDescent="0.35"/>
    <row r="494" s="41" customFormat="1" ht="20.149999999999999" customHeight="1" thickTop="1" x14ac:dyDescent="0.35"/>
    <row r="495" s="41" customFormat="1" ht="20.149999999999999" customHeight="1" thickTop="1" x14ac:dyDescent="0.35"/>
    <row r="496" s="41" customFormat="1" ht="20.149999999999999" customHeight="1" thickTop="1" x14ac:dyDescent="0.35"/>
    <row r="497" s="41" customFormat="1" ht="20.149999999999999" customHeight="1" thickTop="1" x14ac:dyDescent="0.35"/>
    <row r="498" s="41" customFormat="1" ht="20.149999999999999" customHeight="1" thickTop="1" x14ac:dyDescent="0.35"/>
    <row r="499" s="41" customFormat="1" ht="20.149999999999999" customHeight="1" thickTop="1" x14ac:dyDescent="0.35"/>
    <row r="500" s="41" customFormat="1" ht="20.149999999999999" customHeight="1" thickTop="1" x14ac:dyDescent="0.35"/>
    <row r="501" s="41" customFormat="1" ht="20.149999999999999" customHeight="1" thickTop="1" x14ac:dyDescent="0.35"/>
    <row r="502" s="41" customFormat="1" ht="20.149999999999999" customHeight="1" thickTop="1" x14ac:dyDescent="0.35"/>
    <row r="503" s="41" customFormat="1" ht="20.149999999999999" customHeight="1" thickTop="1" x14ac:dyDescent="0.35"/>
    <row r="504" s="41" customFormat="1" ht="20.149999999999999" customHeight="1" thickTop="1" x14ac:dyDescent="0.35"/>
    <row r="505" s="41" customFormat="1" ht="20.149999999999999" customHeight="1" thickTop="1" x14ac:dyDescent="0.35"/>
    <row r="506" s="41" customFormat="1" ht="20.149999999999999" customHeight="1" thickTop="1" x14ac:dyDescent="0.35"/>
    <row r="507" s="41" customFormat="1" ht="20.149999999999999" customHeight="1" thickTop="1" x14ac:dyDescent="0.35"/>
    <row r="508" s="41" customFormat="1" ht="20.149999999999999" customHeight="1" thickTop="1" x14ac:dyDescent="0.35"/>
    <row r="509" s="41" customFormat="1" ht="20.149999999999999" customHeight="1" thickTop="1" x14ac:dyDescent="0.35"/>
    <row r="510" s="41" customFormat="1" ht="20.149999999999999" customHeight="1" thickTop="1" x14ac:dyDescent="0.35"/>
    <row r="511" s="41" customFormat="1" ht="20.149999999999999" customHeight="1" thickTop="1" x14ac:dyDescent="0.35"/>
    <row r="512" s="41" customFormat="1" ht="20.149999999999999" customHeight="1" thickTop="1" x14ac:dyDescent="0.35"/>
    <row r="513" s="41" customFormat="1" ht="20.149999999999999" customHeight="1" thickTop="1" x14ac:dyDescent="0.35"/>
    <row r="514" s="41" customFormat="1" ht="20.149999999999999" customHeight="1" thickTop="1" x14ac:dyDescent="0.35"/>
    <row r="515" s="41" customFormat="1" ht="20.149999999999999" customHeight="1" thickTop="1" x14ac:dyDescent="0.35"/>
    <row r="516" s="41" customFormat="1" ht="20.149999999999999" customHeight="1" thickTop="1" x14ac:dyDescent="0.35"/>
    <row r="517" s="41" customFormat="1" ht="20.149999999999999" customHeight="1" thickTop="1" x14ac:dyDescent="0.35"/>
    <row r="518" s="41" customFormat="1" ht="20.149999999999999" customHeight="1" thickTop="1" x14ac:dyDescent="0.35"/>
    <row r="519" s="41" customFormat="1" ht="20.149999999999999" customHeight="1" thickTop="1" x14ac:dyDescent="0.35"/>
    <row r="520" s="41" customFormat="1" ht="20.149999999999999" customHeight="1" thickTop="1" x14ac:dyDescent="0.35"/>
    <row r="521" s="41" customFormat="1" ht="20.149999999999999" customHeight="1" thickTop="1" x14ac:dyDescent="0.35"/>
    <row r="522" s="41" customFormat="1" ht="20.149999999999999" customHeight="1" thickTop="1" x14ac:dyDescent="0.35"/>
    <row r="523" s="41" customFormat="1" ht="20.149999999999999" customHeight="1" thickTop="1" x14ac:dyDescent="0.35"/>
    <row r="524" s="41" customFormat="1" ht="20.149999999999999" customHeight="1" thickTop="1" x14ac:dyDescent="0.35"/>
    <row r="525" s="41" customFormat="1" ht="20.149999999999999" customHeight="1" thickTop="1" x14ac:dyDescent="0.35"/>
    <row r="526" s="41" customFormat="1" ht="20.149999999999999" customHeight="1" thickTop="1" x14ac:dyDescent="0.35"/>
    <row r="527" s="41" customFormat="1" ht="20.149999999999999" customHeight="1" thickTop="1" x14ac:dyDescent="0.35"/>
    <row r="528" s="41" customFormat="1" ht="20.149999999999999" customHeight="1" thickTop="1" x14ac:dyDescent="0.35"/>
    <row r="529" s="41" customFormat="1" ht="20.149999999999999" customHeight="1" thickTop="1" x14ac:dyDescent="0.35"/>
    <row r="530" s="41" customFormat="1" ht="20.149999999999999" customHeight="1" thickTop="1" x14ac:dyDescent="0.35"/>
    <row r="531" s="41" customFormat="1" ht="20.149999999999999" customHeight="1" thickTop="1" x14ac:dyDescent="0.35"/>
    <row r="532" s="41" customFormat="1" ht="20.149999999999999" customHeight="1" thickTop="1" x14ac:dyDescent="0.35"/>
    <row r="533" s="41" customFormat="1" ht="20.149999999999999" customHeight="1" thickTop="1" x14ac:dyDescent="0.35"/>
    <row r="534" s="41" customFormat="1" ht="20.149999999999999" customHeight="1" thickTop="1" x14ac:dyDescent="0.35"/>
    <row r="535" s="41" customFormat="1" ht="20.149999999999999" customHeight="1" thickTop="1" x14ac:dyDescent="0.35"/>
    <row r="536" s="41" customFormat="1" ht="20.149999999999999" customHeight="1" thickTop="1" x14ac:dyDescent="0.35"/>
    <row r="537" s="41" customFormat="1" ht="20.149999999999999" customHeight="1" thickTop="1" x14ac:dyDescent="0.35"/>
    <row r="538" s="41" customFormat="1" ht="20.149999999999999" customHeight="1" thickTop="1" x14ac:dyDescent="0.35"/>
    <row r="539" s="41" customFormat="1" ht="20.149999999999999" customHeight="1" thickTop="1" x14ac:dyDescent="0.35"/>
    <row r="540" s="41" customFormat="1" ht="20.149999999999999" customHeight="1" thickTop="1" x14ac:dyDescent="0.35"/>
    <row r="541" s="41" customFormat="1" ht="20.149999999999999" customHeight="1" thickTop="1" x14ac:dyDescent="0.35"/>
    <row r="542" s="41" customFormat="1" ht="20.149999999999999" customHeight="1" thickTop="1" x14ac:dyDescent="0.35"/>
    <row r="543" s="41" customFormat="1" ht="20.149999999999999" customHeight="1" thickTop="1" x14ac:dyDescent="0.35"/>
    <row r="544" s="41" customFormat="1" ht="20.149999999999999" customHeight="1" thickTop="1" x14ac:dyDescent="0.35"/>
    <row r="545" s="41" customFormat="1" ht="20.149999999999999" customHeight="1" thickTop="1" x14ac:dyDescent="0.35"/>
    <row r="546" s="41" customFormat="1" ht="20.149999999999999" customHeight="1" thickTop="1" x14ac:dyDescent="0.35"/>
    <row r="547" s="41" customFormat="1" ht="20.149999999999999" customHeight="1" thickTop="1" x14ac:dyDescent="0.35"/>
    <row r="548" s="41" customFormat="1" ht="20.149999999999999" customHeight="1" thickTop="1" x14ac:dyDescent="0.35"/>
    <row r="549" s="41" customFormat="1" ht="20.149999999999999" customHeight="1" thickTop="1" x14ac:dyDescent="0.35"/>
    <row r="550" s="41" customFormat="1" ht="20.149999999999999" customHeight="1" thickTop="1" x14ac:dyDescent="0.35"/>
    <row r="551" s="41" customFormat="1" ht="20.149999999999999" customHeight="1" thickTop="1" x14ac:dyDescent="0.35"/>
    <row r="552" s="41" customFormat="1" ht="20.149999999999999" customHeight="1" thickTop="1" x14ac:dyDescent="0.35"/>
    <row r="553" s="41" customFormat="1" ht="20.149999999999999" customHeight="1" thickTop="1" x14ac:dyDescent="0.35"/>
    <row r="554" s="41" customFormat="1" ht="20.149999999999999" customHeight="1" thickTop="1" x14ac:dyDescent="0.35"/>
    <row r="555" s="41" customFormat="1" ht="20.149999999999999" customHeight="1" thickTop="1" x14ac:dyDescent="0.35"/>
    <row r="556" s="41" customFormat="1" ht="20.149999999999999" customHeight="1" thickTop="1" x14ac:dyDescent="0.35"/>
    <row r="557" s="41" customFormat="1" ht="20.149999999999999" customHeight="1" thickTop="1" x14ac:dyDescent="0.35"/>
    <row r="558" s="41" customFormat="1" ht="20.149999999999999" customHeight="1" thickTop="1" x14ac:dyDescent="0.35"/>
    <row r="559" s="41" customFormat="1" ht="20.149999999999999" customHeight="1" thickTop="1" x14ac:dyDescent="0.35"/>
    <row r="560" s="41" customFormat="1" ht="20.149999999999999" customHeight="1" thickTop="1" x14ac:dyDescent="0.35"/>
    <row r="561" s="41" customFormat="1" ht="20.149999999999999" customHeight="1" thickTop="1" x14ac:dyDescent="0.35"/>
    <row r="562" s="41" customFormat="1" ht="20.149999999999999" customHeight="1" thickTop="1" x14ac:dyDescent="0.35"/>
    <row r="563" s="41" customFormat="1" ht="20.149999999999999" customHeight="1" thickTop="1" x14ac:dyDescent="0.35"/>
    <row r="564" s="41" customFormat="1" ht="20.149999999999999" customHeight="1" thickTop="1" x14ac:dyDescent="0.35"/>
    <row r="565" s="41" customFormat="1" ht="20.149999999999999" customHeight="1" thickTop="1" x14ac:dyDescent="0.35"/>
    <row r="566" s="41" customFormat="1" ht="20.149999999999999" customHeight="1" thickTop="1" x14ac:dyDescent="0.35"/>
    <row r="567" s="41" customFormat="1" ht="20.149999999999999" customHeight="1" thickTop="1" x14ac:dyDescent="0.35"/>
    <row r="568" s="41" customFormat="1" ht="20.149999999999999" customHeight="1" thickTop="1" x14ac:dyDescent="0.35"/>
    <row r="569" s="41" customFormat="1" ht="20.149999999999999" customHeight="1" thickTop="1" x14ac:dyDescent="0.35"/>
    <row r="570" s="41" customFormat="1" ht="20.149999999999999" customHeight="1" thickTop="1" x14ac:dyDescent="0.35"/>
    <row r="571" s="41" customFormat="1" ht="20.149999999999999" customHeight="1" thickTop="1" x14ac:dyDescent="0.35"/>
    <row r="572" s="41" customFormat="1" ht="20.149999999999999" customHeight="1" thickTop="1" x14ac:dyDescent="0.35"/>
    <row r="573" s="41" customFormat="1" ht="20.149999999999999" customHeight="1" thickTop="1" x14ac:dyDescent="0.35"/>
    <row r="574" s="41" customFormat="1" ht="20.149999999999999" customHeight="1" thickTop="1" x14ac:dyDescent="0.35"/>
    <row r="575" s="41" customFormat="1" ht="20.149999999999999" customHeight="1" thickTop="1" x14ac:dyDescent="0.35"/>
    <row r="576" s="41" customFormat="1" ht="20.149999999999999" customHeight="1" thickTop="1" x14ac:dyDescent="0.35"/>
    <row r="577" s="41" customFormat="1" ht="20.149999999999999" customHeight="1" thickTop="1" x14ac:dyDescent="0.35"/>
    <row r="578" s="41" customFormat="1" ht="20.149999999999999" customHeight="1" thickTop="1" x14ac:dyDescent="0.35"/>
    <row r="579" s="41" customFormat="1" ht="20.149999999999999" customHeight="1" thickTop="1" x14ac:dyDescent="0.35"/>
    <row r="580" s="41" customFormat="1" ht="20.149999999999999" customHeight="1" thickTop="1" x14ac:dyDescent="0.35"/>
    <row r="581" s="41" customFormat="1" ht="20.149999999999999" customHeight="1" thickTop="1" x14ac:dyDescent="0.35"/>
    <row r="582" s="41" customFormat="1" ht="20.149999999999999" customHeight="1" thickTop="1" x14ac:dyDescent="0.35"/>
    <row r="583" s="41" customFormat="1" ht="20.149999999999999" customHeight="1" thickTop="1" x14ac:dyDescent="0.35"/>
    <row r="584" s="41" customFormat="1" ht="20.149999999999999" customHeight="1" thickTop="1" x14ac:dyDescent="0.35"/>
    <row r="585" s="41" customFormat="1" ht="20.149999999999999" customHeight="1" thickTop="1" x14ac:dyDescent="0.35"/>
    <row r="586" s="41" customFormat="1" ht="20.149999999999999" customHeight="1" thickTop="1" x14ac:dyDescent="0.35"/>
    <row r="587" s="41" customFormat="1" ht="20.149999999999999" customHeight="1" thickTop="1" x14ac:dyDescent="0.35"/>
    <row r="588" s="41" customFormat="1" ht="20.149999999999999" customHeight="1" thickTop="1" x14ac:dyDescent="0.35"/>
    <row r="589" s="41" customFormat="1" ht="20.149999999999999" customHeight="1" thickTop="1" x14ac:dyDescent="0.35"/>
    <row r="590" s="41" customFormat="1" ht="20.149999999999999" customHeight="1" thickTop="1" x14ac:dyDescent="0.35"/>
    <row r="591" s="41" customFormat="1" ht="20.149999999999999" customHeight="1" thickTop="1" x14ac:dyDescent="0.35"/>
    <row r="592" s="41" customFormat="1" ht="20.149999999999999" customHeight="1" thickTop="1" x14ac:dyDescent="0.35"/>
    <row r="593" s="41" customFormat="1" ht="20.149999999999999" customHeight="1" thickTop="1" x14ac:dyDescent="0.35"/>
    <row r="594" s="41" customFormat="1" ht="20.149999999999999" customHeight="1" thickTop="1" x14ac:dyDescent="0.35"/>
    <row r="595" s="41" customFormat="1" ht="20.149999999999999" customHeight="1" thickTop="1" x14ac:dyDescent="0.35"/>
    <row r="596" s="41" customFormat="1" ht="20.149999999999999" customHeight="1" thickTop="1" x14ac:dyDescent="0.35"/>
    <row r="597" s="41" customFormat="1" ht="20.149999999999999" customHeight="1" thickTop="1" x14ac:dyDescent="0.35"/>
    <row r="598" s="41" customFormat="1" ht="20.149999999999999" customHeight="1" thickTop="1" x14ac:dyDescent="0.35"/>
    <row r="599" s="41" customFormat="1" ht="20.149999999999999" customHeight="1" thickTop="1" x14ac:dyDescent="0.35"/>
    <row r="600" s="41" customFormat="1" ht="20.149999999999999" customHeight="1" thickTop="1" x14ac:dyDescent="0.35"/>
    <row r="601" s="41" customFormat="1" ht="20.149999999999999" customHeight="1" thickTop="1" x14ac:dyDescent="0.35"/>
    <row r="602" s="41" customFormat="1" ht="20.149999999999999" customHeight="1" thickTop="1" x14ac:dyDescent="0.35"/>
    <row r="603" s="41" customFormat="1" ht="20.149999999999999" customHeight="1" thickTop="1" x14ac:dyDescent="0.35"/>
    <row r="604" s="41" customFormat="1" ht="20.149999999999999" customHeight="1" thickTop="1" x14ac:dyDescent="0.35"/>
    <row r="605" s="41" customFormat="1" ht="20.149999999999999" customHeight="1" thickTop="1" x14ac:dyDescent="0.35"/>
    <row r="606" s="41" customFormat="1" ht="20.149999999999999" customHeight="1" thickTop="1" x14ac:dyDescent="0.35"/>
    <row r="607" s="41" customFormat="1" ht="20.149999999999999" customHeight="1" thickTop="1" x14ac:dyDescent="0.35"/>
    <row r="608" s="41" customFormat="1" ht="20.149999999999999" customHeight="1" thickTop="1" x14ac:dyDescent="0.35"/>
    <row r="609" s="41" customFormat="1" ht="20.149999999999999" customHeight="1" thickTop="1" x14ac:dyDescent="0.35"/>
    <row r="610" s="41" customFormat="1" ht="20.149999999999999" customHeight="1" thickTop="1" x14ac:dyDescent="0.35"/>
    <row r="611" s="41" customFormat="1" ht="20.149999999999999" customHeight="1" thickTop="1" x14ac:dyDescent="0.35"/>
    <row r="612" s="41" customFormat="1" ht="20.149999999999999" customHeight="1" thickTop="1" x14ac:dyDescent="0.35"/>
    <row r="613" s="41" customFormat="1" ht="20.149999999999999" customHeight="1" thickTop="1" x14ac:dyDescent="0.35"/>
    <row r="614" s="41" customFormat="1" ht="20.149999999999999" customHeight="1" thickTop="1" x14ac:dyDescent="0.35"/>
    <row r="615" s="41" customFormat="1" ht="20.149999999999999" customHeight="1" thickTop="1" x14ac:dyDescent="0.35"/>
    <row r="616" s="41" customFormat="1" ht="20.149999999999999" customHeight="1" thickTop="1" x14ac:dyDescent="0.35"/>
    <row r="617" s="41" customFormat="1" ht="20.149999999999999" customHeight="1" thickTop="1" x14ac:dyDescent="0.35"/>
    <row r="618" s="41" customFormat="1" ht="20.149999999999999" customHeight="1" thickTop="1" x14ac:dyDescent="0.35"/>
    <row r="619" s="41" customFormat="1" ht="20.149999999999999" customHeight="1" thickTop="1" x14ac:dyDescent="0.35"/>
    <row r="620" s="41" customFormat="1" ht="20.149999999999999" customHeight="1" thickTop="1" x14ac:dyDescent="0.35"/>
    <row r="621" s="41" customFormat="1" ht="20.149999999999999" customHeight="1" thickTop="1" x14ac:dyDescent="0.35"/>
    <row r="622" s="41" customFormat="1" ht="20.149999999999999" customHeight="1" thickTop="1" x14ac:dyDescent="0.35"/>
    <row r="623" s="41" customFormat="1" ht="20.149999999999999" customHeight="1" thickTop="1" x14ac:dyDescent="0.35"/>
    <row r="624" s="41" customFormat="1" ht="20.149999999999999" customHeight="1" thickTop="1" x14ac:dyDescent="0.35"/>
    <row r="625" s="41" customFormat="1" ht="20.149999999999999" customHeight="1" thickTop="1" x14ac:dyDescent="0.35"/>
    <row r="626" s="41" customFormat="1" ht="20.149999999999999" customHeight="1" thickTop="1" x14ac:dyDescent="0.35"/>
    <row r="627" s="41" customFormat="1" ht="20.149999999999999" customHeight="1" thickTop="1" x14ac:dyDescent="0.35"/>
    <row r="628" s="41" customFormat="1" ht="20.149999999999999" customHeight="1" thickTop="1" x14ac:dyDescent="0.35"/>
    <row r="629" s="41" customFormat="1" ht="20.149999999999999" customHeight="1" thickTop="1" x14ac:dyDescent="0.35"/>
    <row r="630" s="41" customFormat="1" ht="20.149999999999999" customHeight="1" thickTop="1" x14ac:dyDescent="0.35"/>
    <row r="631" s="41" customFormat="1" ht="20.149999999999999" customHeight="1" thickTop="1" x14ac:dyDescent="0.35"/>
    <row r="632" s="41" customFormat="1" ht="20.149999999999999" customHeight="1" thickTop="1" x14ac:dyDescent="0.35"/>
    <row r="633" s="41" customFormat="1" ht="20.149999999999999" customHeight="1" thickTop="1" x14ac:dyDescent="0.35"/>
    <row r="634" s="41" customFormat="1" ht="20.149999999999999" customHeight="1" thickTop="1" x14ac:dyDescent="0.35"/>
    <row r="635" s="41" customFormat="1" ht="20.149999999999999" customHeight="1" thickTop="1" x14ac:dyDescent="0.35"/>
    <row r="636" s="41" customFormat="1" ht="20.149999999999999" customHeight="1" thickTop="1" x14ac:dyDescent="0.35"/>
    <row r="637" s="41" customFormat="1" ht="20.149999999999999" customHeight="1" thickTop="1" x14ac:dyDescent="0.35"/>
    <row r="638" s="41" customFormat="1" ht="20.149999999999999" customHeight="1" thickTop="1" x14ac:dyDescent="0.35"/>
    <row r="639" s="41" customFormat="1" ht="20.149999999999999" customHeight="1" thickTop="1" x14ac:dyDescent="0.35"/>
    <row r="640" s="41" customFormat="1" ht="20.149999999999999" customHeight="1" thickTop="1" x14ac:dyDescent="0.35"/>
    <row r="641" s="41" customFormat="1" ht="20.149999999999999" customHeight="1" thickTop="1" x14ac:dyDescent="0.35"/>
    <row r="642" s="41" customFormat="1" ht="20.149999999999999" customHeight="1" thickTop="1" x14ac:dyDescent="0.35"/>
    <row r="643" s="41" customFormat="1" ht="20.149999999999999" customHeight="1" thickTop="1" x14ac:dyDescent="0.35"/>
    <row r="644" s="41" customFormat="1" ht="20.149999999999999" customHeight="1" thickTop="1" x14ac:dyDescent="0.35"/>
    <row r="645" s="41" customFormat="1" ht="20.149999999999999" customHeight="1" thickTop="1" x14ac:dyDescent="0.35"/>
    <row r="646" s="41" customFormat="1" ht="20.149999999999999" customHeight="1" thickTop="1" x14ac:dyDescent="0.35"/>
    <row r="647" s="41" customFormat="1" ht="20.149999999999999" customHeight="1" thickTop="1" x14ac:dyDescent="0.35"/>
    <row r="648" s="41" customFormat="1" ht="20.149999999999999" customHeight="1" thickTop="1" x14ac:dyDescent="0.35"/>
    <row r="649" s="41" customFormat="1" ht="20.149999999999999" customHeight="1" thickTop="1" x14ac:dyDescent="0.35"/>
    <row r="650" s="41" customFormat="1" ht="20.149999999999999" customHeight="1" thickTop="1" x14ac:dyDescent="0.35"/>
    <row r="651" s="41" customFormat="1" ht="20.149999999999999" customHeight="1" thickTop="1" x14ac:dyDescent="0.35"/>
    <row r="652" s="41" customFormat="1" ht="20.149999999999999" customHeight="1" thickTop="1" x14ac:dyDescent="0.35"/>
    <row r="653" s="41" customFormat="1" ht="20.149999999999999" customHeight="1" thickTop="1" x14ac:dyDescent="0.35"/>
    <row r="654" s="41" customFormat="1" ht="20.149999999999999" customHeight="1" thickTop="1" x14ac:dyDescent="0.35"/>
    <row r="655" s="41" customFormat="1" ht="20.149999999999999" customHeight="1" thickTop="1" x14ac:dyDescent="0.35"/>
    <row r="656" s="41" customFormat="1" ht="20.149999999999999" customHeight="1" thickTop="1" x14ac:dyDescent="0.35"/>
    <row r="657" s="41" customFormat="1" ht="20.149999999999999" customHeight="1" thickTop="1" x14ac:dyDescent="0.35"/>
    <row r="658" s="41" customFormat="1" ht="20.149999999999999" customHeight="1" thickTop="1" x14ac:dyDescent="0.35"/>
    <row r="659" s="41" customFormat="1" ht="20.149999999999999" customHeight="1" thickTop="1" x14ac:dyDescent="0.35"/>
    <row r="660" s="41" customFormat="1" ht="20.149999999999999" customHeight="1" thickTop="1" x14ac:dyDescent="0.35"/>
    <row r="661" s="41" customFormat="1" ht="20.149999999999999" customHeight="1" thickTop="1" x14ac:dyDescent="0.35"/>
    <row r="662" s="41" customFormat="1" ht="20.149999999999999" customHeight="1" thickTop="1" x14ac:dyDescent="0.35"/>
    <row r="663" s="41" customFormat="1" ht="20.149999999999999" customHeight="1" thickTop="1" x14ac:dyDescent="0.35"/>
    <row r="664" s="41" customFormat="1" ht="20.149999999999999" customHeight="1" thickTop="1" x14ac:dyDescent="0.35"/>
    <row r="665" s="41" customFormat="1" ht="20.149999999999999" customHeight="1" thickTop="1" x14ac:dyDescent="0.35"/>
    <row r="666" s="41" customFormat="1" ht="20.149999999999999" customHeight="1" thickTop="1" x14ac:dyDescent="0.35"/>
    <row r="667" s="41" customFormat="1" ht="20.149999999999999" customHeight="1" thickTop="1" x14ac:dyDescent="0.35"/>
    <row r="668" s="41" customFormat="1" ht="20.149999999999999" customHeight="1" thickTop="1" x14ac:dyDescent="0.35"/>
    <row r="669" s="41" customFormat="1" ht="20.149999999999999" customHeight="1" thickTop="1" x14ac:dyDescent="0.35"/>
    <row r="670" s="41" customFormat="1" ht="20.149999999999999" customHeight="1" thickTop="1" x14ac:dyDescent="0.35"/>
    <row r="671" s="41" customFormat="1" ht="20.149999999999999" customHeight="1" thickTop="1" x14ac:dyDescent="0.35"/>
    <row r="672" s="41" customFormat="1" ht="20.149999999999999" customHeight="1" thickTop="1" x14ac:dyDescent="0.35"/>
    <row r="673" s="41" customFormat="1" ht="20.149999999999999" customHeight="1" thickTop="1" x14ac:dyDescent="0.35"/>
    <row r="674" s="41" customFormat="1" ht="20.149999999999999" customHeight="1" thickTop="1" x14ac:dyDescent="0.35"/>
    <row r="675" s="41" customFormat="1" ht="20.149999999999999" customHeight="1" thickTop="1" x14ac:dyDescent="0.35"/>
    <row r="676" s="41" customFormat="1" ht="20.149999999999999" customHeight="1" thickTop="1" x14ac:dyDescent="0.35"/>
    <row r="677" s="41" customFormat="1" ht="20.149999999999999" customHeight="1" thickTop="1" x14ac:dyDescent="0.35"/>
    <row r="678" s="41" customFormat="1" ht="20.149999999999999" customHeight="1" thickTop="1" x14ac:dyDescent="0.35"/>
    <row r="679" s="41" customFormat="1" ht="20.149999999999999" customHeight="1" thickTop="1" x14ac:dyDescent="0.35"/>
    <row r="680" s="41" customFormat="1" ht="20.149999999999999" customHeight="1" thickTop="1" x14ac:dyDescent="0.35"/>
    <row r="681" s="41" customFormat="1" ht="20.149999999999999" customHeight="1" thickTop="1" x14ac:dyDescent="0.35"/>
    <row r="682" s="41" customFormat="1" ht="20.149999999999999" customHeight="1" thickTop="1" x14ac:dyDescent="0.35"/>
    <row r="683" s="41" customFormat="1" ht="20.149999999999999" customHeight="1" thickTop="1" x14ac:dyDescent="0.35"/>
    <row r="684" s="41" customFormat="1" ht="20.149999999999999" customHeight="1" thickTop="1" x14ac:dyDescent="0.35"/>
    <row r="685" s="41" customFormat="1" ht="20.149999999999999" customHeight="1" thickTop="1" x14ac:dyDescent="0.35"/>
    <row r="686" s="41" customFormat="1" ht="20.149999999999999" customHeight="1" thickTop="1" x14ac:dyDescent="0.35"/>
    <row r="687" s="41" customFormat="1" ht="20.149999999999999" customHeight="1" thickTop="1" x14ac:dyDescent="0.35"/>
    <row r="688" s="41" customFormat="1" ht="20.149999999999999" customHeight="1" thickTop="1" x14ac:dyDescent="0.35"/>
    <row r="689" s="41" customFormat="1" ht="20.149999999999999" customHeight="1" thickTop="1" x14ac:dyDescent="0.35"/>
    <row r="690" s="41" customFormat="1" ht="20.149999999999999" customHeight="1" thickTop="1" x14ac:dyDescent="0.35"/>
    <row r="691" s="41" customFormat="1" ht="20.149999999999999" customHeight="1" thickTop="1" x14ac:dyDescent="0.35"/>
    <row r="692" s="41" customFormat="1" ht="20.149999999999999" customHeight="1" thickTop="1" x14ac:dyDescent="0.35"/>
    <row r="693" s="41" customFormat="1" ht="20.149999999999999" customHeight="1" thickTop="1" x14ac:dyDescent="0.35"/>
    <row r="694" s="41" customFormat="1" ht="20.149999999999999" customHeight="1" thickTop="1" x14ac:dyDescent="0.35"/>
    <row r="695" s="41" customFormat="1" ht="20.149999999999999" customHeight="1" thickTop="1" x14ac:dyDescent="0.35"/>
    <row r="696" s="41" customFormat="1" ht="20.149999999999999" customHeight="1" thickTop="1" x14ac:dyDescent="0.35"/>
    <row r="697" s="41" customFormat="1" ht="20.149999999999999" customHeight="1" thickTop="1" x14ac:dyDescent="0.35"/>
    <row r="698" s="41" customFormat="1" ht="20.149999999999999" customHeight="1" thickTop="1" x14ac:dyDescent="0.35"/>
    <row r="699" s="41" customFormat="1" ht="20.149999999999999" customHeight="1" thickTop="1" x14ac:dyDescent="0.35"/>
    <row r="700" s="41" customFormat="1" ht="20.149999999999999" customHeight="1" thickTop="1" x14ac:dyDescent="0.35"/>
    <row r="701" s="41" customFormat="1" ht="20.149999999999999" customHeight="1" thickTop="1" x14ac:dyDescent="0.35"/>
    <row r="702" s="41" customFormat="1" ht="20.149999999999999" customHeight="1" thickTop="1" x14ac:dyDescent="0.35"/>
    <row r="703" s="41" customFormat="1" ht="20.149999999999999" customHeight="1" thickTop="1" x14ac:dyDescent="0.35"/>
    <row r="704" s="41" customFormat="1" ht="20.149999999999999" customHeight="1" thickTop="1" x14ac:dyDescent="0.35"/>
    <row r="705" s="41" customFormat="1" ht="20.149999999999999" customHeight="1" thickTop="1" x14ac:dyDescent="0.35"/>
    <row r="706" s="41" customFormat="1" ht="20.149999999999999" customHeight="1" thickTop="1" x14ac:dyDescent="0.35"/>
    <row r="707" s="41" customFormat="1" ht="20.149999999999999" customHeight="1" thickTop="1" x14ac:dyDescent="0.35"/>
    <row r="708" s="41" customFormat="1" ht="20.149999999999999" customHeight="1" thickTop="1" x14ac:dyDescent="0.35"/>
    <row r="709" s="41" customFormat="1" ht="20.149999999999999" customHeight="1" thickTop="1" x14ac:dyDescent="0.35"/>
    <row r="710" s="41" customFormat="1" ht="20.149999999999999" customHeight="1" thickTop="1" x14ac:dyDescent="0.35"/>
    <row r="711" s="41" customFormat="1" ht="20.149999999999999" customHeight="1" thickTop="1" x14ac:dyDescent="0.35"/>
    <row r="712" s="41" customFormat="1" ht="20.149999999999999" customHeight="1" thickTop="1" x14ac:dyDescent="0.35"/>
    <row r="713" s="41" customFormat="1" ht="20.149999999999999" customHeight="1" thickTop="1" x14ac:dyDescent="0.35"/>
    <row r="714" s="41" customFormat="1" ht="20.149999999999999" customHeight="1" thickTop="1" x14ac:dyDescent="0.35"/>
    <row r="715" s="41" customFormat="1" ht="20.149999999999999" customHeight="1" thickTop="1" x14ac:dyDescent="0.35"/>
    <row r="716" s="41" customFormat="1" ht="20.149999999999999" customHeight="1" thickTop="1" x14ac:dyDescent="0.35"/>
    <row r="717" s="41" customFormat="1" ht="20.149999999999999" customHeight="1" thickTop="1" x14ac:dyDescent="0.35"/>
    <row r="718" s="41" customFormat="1" ht="20.149999999999999" customHeight="1" thickTop="1" x14ac:dyDescent="0.35"/>
    <row r="719" s="41" customFormat="1" ht="20.149999999999999" customHeight="1" thickTop="1" x14ac:dyDescent="0.35"/>
    <row r="720" s="41" customFormat="1" ht="20.149999999999999" customHeight="1" thickTop="1" x14ac:dyDescent="0.35"/>
    <row r="721" s="41" customFormat="1" ht="20.149999999999999" customHeight="1" thickTop="1" x14ac:dyDescent="0.35"/>
    <row r="722" s="41" customFormat="1" ht="20.149999999999999" customHeight="1" thickTop="1" x14ac:dyDescent="0.35"/>
    <row r="723" s="41" customFormat="1" ht="20.149999999999999" customHeight="1" thickTop="1" x14ac:dyDescent="0.35"/>
    <row r="724" s="41" customFormat="1" ht="20.149999999999999" customHeight="1" thickTop="1" x14ac:dyDescent="0.35"/>
    <row r="725" s="41" customFormat="1" ht="20.149999999999999" customHeight="1" thickTop="1" x14ac:dyDescent="0.35"/>
    <row r="726" s="41" customFormat="1" ht="20.149999999999999" customHeight="1" thickTop="1" x14ac:dyDescent="0.35"/>
    <row r="727" s="41" customFormat="1" ht="20.149999999999999" customHeight="1" thickTop="1" x14ac:dyDescent="0.35"/>
    <row r="728" s="41" customFormat="1" ht="20.149999999999999" customHeight="1" thickTop="1" x14ac:dyDescent="0.35"/>
    <row r="729" s="41" customFormat="1" ht="20.149999999999999" customHeight="1" thickTop="1" x14ac:dyDescent="0.35"/>
    <row r="730" s="41" customFormat="1" ht="20.149999999999999" customHeight="1" thickTop="1" x14ac:dyDescent="0.35"/>
    <row r="731" s="41" customFormat="1" ht="20.149999999999999" customHeight="1" thickTop="1" x14ac:dyDescent="0.35"/>
    <row r="732" s="41" customFormat="1" ht="20.149999999999999" customHeight="1" thickTop="1" x14ac:dyDescent="0.35"/>
    <row r="733" s="41" customFormat="1" ht="20.149999999999999" customHeight="1" thickTop="1" x14ac:dyDescent="0.35"/>
    <row r="734" s="41" customFormat="1" ht="20.149999999999999" customHeight="1" thickTop="1" x14ac:dyDescent="0.35"/>
    <row r="735" s="41" customFormat="1" ht="20.149999999999999" customHeight="1" thickTop="1" x14ac:dyDescent="0.35"/>
    <row r="736" s="41" customFormat="1" ht="20.149999999999999" customHeight="1" thickTop="1" x14ac:dyDescent="0.35"/>
    <row r="737" s="41" customFormat="1" ht="20.149999999999999" customHeight="1" thickTop="1" x14ac:dyDescent="0.35"/>
    <row r="738" s="41" customFormat="1" ht="20.149999999999999" customHeight="1" thickTop="1" x14ac:dyDescent="0.35"/>
    <row r="739" s="41" customFormat="1" ht="20.149999999999999" customHeight="1" thickTop="1" x14ac:dyDescent="0.35"/>
    <row r="740" s="41" customFormat="1" ht="20.149999999999999" customHeight="1" thickTop="1" x14ac:dyDescent="0.35"/>
    <row r="741" s="41" customFormat="1" ht="20.149999999999999" customHeight="1" thickTop="1" x14ac:dyDescent="0.35"/>
    <row r="742" s="41" customFormat="1" ht="20.149999999999999" customHeight="1" thickTop="1" x14ac:dyDescent="0.35"/>
    <row r="743" s="41" customFormat="1" ht="20.149999999999999" customHeight="1" thickTop="1" x14ac:dyDescent="0.35"/>
    <row r="744" s="41" customFormat="1" ht="20.149999999999999" customHeight="1" thickTop="1" x14ac:dyDescent="0.35"/>
    <row r="745" s="41" customFormat="1" ht="20.149999999999999" customHeight="1" thickTop="1" x14ac:dyDescent="0.35"/>
    <row r="746" s="41" customFormat="1" ht="20.149999999999999" customHeight="1" thickTop="1" x14ac:dyDescent="0.35"/>
    <row r="747" s="41" customFormat="1" ht="20.149999999999999" customHeight="1" thickTop="1" x14ac:dyDescent="0.35"/>
    <row r="748" s="41" customFormat="1" ht="20.149999999999999" customHeight="1" thickTop="1" x14ac:dyDescent="0.35"/>
    <row r="749" s="41" customFormat="1" ht="20.149999999999999" customHeight="1" thickTop="1" x14ac:dyDescent="0.35"/>
    <row r="750" s="41" customFormat="1" ht="20.149999999999999" customHeight="1" thickTop="1" x14ac:dyDescent="0.35"/>
    <row r="751" s="41" customFormat="1" ht="20.149999999999999" customHeight="1" thickTop="1" x14ac:dyDescent="0.35"/>
    <row r="752" s="41" customFormat="1" ht="20.149999999999999" customHeight="1" thickTop="1" x14ac:dyDescent="0.35"/>
    <row r="753" s="41" customFormat="1" ht="20.149999999999999" customHeight="1" thickTop="1" x14ac:dyDescent="0.35"/>
    <row r="754" s="41" customFormat="1" ht="20.149999999999999" customHeight="1" thickTop="1" x14ac:dyDescent="0.35"/>
    <row r="755" s="41" customFormat="1" ht="20.149999999999999" customHeight="1" thickTop="1" x14ac:dyDescent="0.35"/>
    <row r="756" s="41" customFormat="1" ht="20.149999999999999" customHeight="1" thickTop="1" x14ac:dyDescent="0.35"/>
    <row r="757" s="41" customFormat="1" ht="20.149999999999999" customHeight="1" thickTop="1" x14ac:dyDescent="0.35"/>
    <row r="758" s="41" customFormat="1" ht="20.149999999999999" customHeight="1" thickTop="1" x14ac:dyDescent="0.35"/>
    <row r="759" s="41" customFormat="1" ht="20.149999999999999" customHeight="1" thickTop="1" x14ac:dyDescent="0.35"/>
    <row r="760" s="41" customFormat="1" ht="20.149999999999999" customHeight="1" thickTop="1" x14ac:dyDescent="0.35"/>
    <row r="761" s="41" customFormat="1" ht="20.149999999999999" customHeight="1" thickTop="1" x14ac:dyDescent="0.35"/>
    <row r="762" s="41" customFormat="1" ht="20.149999999999999" customHeight="1" thickTop="1" x14ac:dyDescent="0.35"/>
    <row r="763" s="41" customFormat="1" ht="20.149999999999999" customHeight="1" thickTop="1" x14ac:dyDescent="0.35"/>
    <row r="764" s="41" customFormat="1" ht="20.149999999999999" customHeight="1" thickTop="1" x14ac:dyDescent="0.35"/>
    <row r="765" s="41" customFormat="1" ht="20.149999999999999" customHeight="1" thickTop="1" x14ac:dyDescent="0.35"/>
    <row r="766" s="41" customFormat="1" ht="20.149999999999999" customHeight="1" thickTop="1" x14ac:dyDescent="0.35"/>
    <row r="767" s="41" customFormat="1" ht="20.149999999999999" customHeight="1" thickTop="1" x14ac:dyDescent="0.35"/>
    <row r="768" s="41" customFormat="1" ht="20.149999999999999" customHeight="1" thickTop="1" x14ac:dyDescent="0.35"/>
    <row r="769" s="41" customFormat="1" ht="20.149999999999999" customHeight="1" thickTop="1" x14ac:dyDescent="0.35"/>
    <row r="770" s="41" customFormat="1" ht="20.149999999999999" customHeight="1" thickTop="1" x14ac:dyDescent="0.35"/>
    <row r="771" s="41" customFormat="1" ht="20.149999999999999" customHeight="1" thickTop="1" x14ac:dyDescent="0.35"/>
    <row r="772" s="41" customFormat="1" ht="20.149999999999999" customHeight="1" thickTop="1" x14ac:dyDescent="0.35"/>
    <row r="773" s="41" customFormat="1" ht="20.149999999999999" customHeight="1" thickTop="1" x14ac:dyDescent="0.35"/>
    <row r="774" s="41" customFormat="1" ht="20.149999999999999" customHeight="1" thickTop="1" x14ac:dyDescent="0.35"/>
    <row r="775" s="41" customFormat="1" ht="20.149999999999999" customHeight="1" thickTop="1" x14ac:dyDescent="0.35"/>
    <row r="776" s="41" customFormat="1" ht="20.149999999999999" customHeight="1" thickTop="1" x14ac:dyDescent="0.35"/>
    <row r="777" s="41" customFormat="1" ht="20.149999999999999" customHeight="1" thickTop="1" x14ac:dyDescent="0.35"/>
    <row r="778" s="41" customFormat="1" ht="20.149999999999999" customHeight="1" thickTop="1" x14ac:dyDescent="0.35"/>
    <row r="779" s="41" customFormat="1" ht="20.149999999999999" customHeight="1" thickTop="1" x14ac:dyDescent="0.35"/>
    <row r="780" s="41" customFormat="1" ht="20.149999999999999" customHeight="1" thickTop="1" x14ac:dyDescent="0.35"/>
    <row r="781" s="41" customFormat="1" ht="20.149999999999999" customHeight="1" thickTop="1" x14ac:dyDescent="0.35"/>
    <row r="782" s="41" customFormat="1" ht="20.149999999999999" customHeight="1" thickTop="1" x14ac:dyDescent="0.35"/>
    <row r="783" s="41" customFormat="1" ht="20.149999999999999" customHeight="1" thickTop="1" x14ac:dyDescent="0.35"/>
    <row r="784" s="41" customFormat="1" ht="20.149999999999999" customHeight="1" thickTop="1" x14ac:dyDescent="0.35"/>
    <row r="785" s="41" customFormat="1" ht="20.149999999999999" customHeight="1" thickTop="1" x14ac:dyDescent="0.35"/>
    <row r="786" s="41" customFormat="1" ht="20.149999999999999" customHeight="1" thickTop="1" x14ac:dyDescent="0.35"/>
    <row r="787" s="41" customFormat="1" ht="20.149999999999999" customHeight="1" thickTop="1" x14ac:dyDescent="0.35"/>
    <row r="788" s="41" customFormat="1" ht="20.149999999999999" customHeight="1" thickTop="1" x14ac:dyDescent="0.35"/>
    <row r="789" s="41" customFormat="1" ht="20.149999999999999" customHeight="1" thickTop="1" x14ac:dyDescent="0.35"/>
    <row r="790" s="41" customFormat="1" ht="20.149999999999999" customHeight="1" thickTop="1" x14ac:dyDescent="0.35"/>
    <row r="791" s="41" customFormat="1" ht="20.149999999999999" customHeight="1" thickTop="1" x14ac:dyDescent="0.35"/>
    <row r="792" s="41" customFormat="1" ht="20.149999999999999" customHeight="1" thickTop="1" x14ac:dyDescent="0.35"/>
    <row r="793" s="41" customFormat="1" ht="20.149999999999999" customHeight="1" thickTop="1" x14ac:dyDescent="0.35"/>
    <row r="794" s="41" customFormat="1" ht="20.149999999999999" customHeight="1" thickTop="1" x14ac:dyDescent="0.35"/>
    <row r="795" s="41" customFormat="1" ht="20.149999999999999" customHeight="1" thickTop="1" x14ac:dyDescent="0.35"/>
    <row r="796" s="41" customFormat="1" ht="20.149999999999999" customHeight="1" thickTop="1" x14ac:dyDescent="0.35"/>
    <row r="797" s="41" customFormat="1" ht="20.149999999999999" customHeight="1" thickTop="1" x14ac:dyDescent="0.35"/>
    <row r="798" s="41" customFormat="1" ht="20.149999999999999" customHeight="1" thickTop="1" x14ac:dyDescent="0.35"/>
    <row r="799" s="41" customFormat="1" ht="20.149999999999999" customHeight="1" thickTop="1" x14ac:dyDescent="0.35"/>
    <row r="800" s="41" customFormat="1" ht="20.149999999999999" customHeight="1" thickTop="1" x14ac:dyDescent="0.35"/>
    <row r="801" s="41" customFormat="1" ht="20.149999999999999" customHeight="1" thickTop="1" x14ac:dyDescent="0.35"/>
    <row r="802" s="41" customFormat="1" ht="20.149999999999999" customHeight="1" thickTop="1" x14ac:dyDescent="0.35"/>
    <row r="803" s="41" customFormat="1" ht="20.149999999999999" customHeight="1" thickTop="1" x14ac:dyDescent="0.35"/>
    <row r="804" s="41" customFormat="1" ht="20.149999999999999" customHeight="1" thickTop="1" x14ac:dyDescent="0.35"/>
    <row r="805" s="41" customFormat="1" ht="20.149999999999999" customHeight="1" thickTop="1" x14ac:dyDescent="0.35"/>
    <row r="806" s="41" customFormat="1" ht="20.149999999999999" customHeight="1" thickTop="1" x14ac:dyDescent="0.35"/>
    <row r="807" s="41" customFormat="1" ht="20.149999999999999" customHeight="1" thickTop="1" x14ac:dyDescent="0.35"/>
    <row r="808" s="41" customFormat="1" ht="20.149999999999999" customHeight="1" thickTop="1" x14ac:dyDescent="0.35"/>
    <row r="809" s="41" customFormat="1" ht="20.149999999999999" customHeight="1" thickTop="1" x14ac:dyDescent="0.35"/>
    <row r="810" s="41" customFormat="1" ht="20.149999999999999" customHeight="1" thickTop="1" x14ac:dyDescent="0.35"/>
    <row r="811" s="41" customFormat="1" ht="20.149999999999999" customHeight="1" thickTop="1" x14ac:dyDescent="0.35"/>
    <row r="812" s="41" customFormat="1" ht="20.149999999999999" customHeight="1" thickTop="1" x14ac:dyDescent="0.35"/>
    <row r="813" s="41" customFormat="1" ht="20.149999999999999" customHeight="1" thickTop="1" x14ac:dyDescent="0.35"/>
    <row r="814" s="41" customFormat="1" ht="20.149999999999999" customHeight="1" thickTop="1" x14ac:dyDescent="0.35"/>
    <row r="815" s="41" customFormat="1" ht="20.149999999999999" customHeight="1" thickTop="1" x14ac:dyDescent="0.35"/>
    <row r="816" s="41" customFormat="1" ht="20.149999999999999" customHeight="1" thickTop="1" x14ac:dyDescent="0.35"/>
    <row r="817" s="41" customFormat="1" ht="20.149999999999999" customHeight="1" thickTop="1" x14ac:dyDescent="0.35"/>
    <row r="818" s="41" customFormat="1" ht="20.149999999999999" customHeight="1" thickTop="1" x14ac:dyDescent="0.35"/>
    <row r="819" s="41" customFormat="1" ht="20.149999999999999" customHeight="1" thickTop="1" x14ac:dyDescent="0.35"/>
    <row r="820" s="41" customFormat="1" ht="20.149999999999999" customHeight="1" thickTop="1" x14ac:dyDescent="0.35"/>
    <row r="821" s="41" customFormat="1" ht="20.149999999999999" customHeight="1" thickTop="1" x14ac:dyDescent="0.35"/>
    <row r="822" s="41" customFormat="1" ht="20.149999999999999" customHeight="1" thickTop="1" x14ac:dyDescent="0.35"/>
    <row r="823" s="41" customFormat="1" ht="20.149999999999999" customHeight="1" thickTop="1" x14ac:dyDescent="0.35"/>
    <row r="824" s="41" customFormat="1" ht="20.149999999999999" customHeight="1" thickTop="1" x14ac:dyDescent="0.35"/>
    <row r="825" s="41" customFormat="1" ht="20.149999999999999" customHeight="1" thickTop="1" x14ac:dyDescent="0.35"/>
    <row r="826" s="41" customFormat="1" ht="20.149999999999999" customHeight="1" thickTop="1" x14ac:dyDescent="0.35"/>
    <row r="827" s="41" customFormat="1" ht="20.149999999999999" customHeight="1" thickTop="1" x14ac:dyDescent="0.35"/>
    <row r="828" s="41" customFormat="1" ht="20.149999999999999" customHeight="1" thickTop="1" x14ac:dyDescent="0.35"/>
    <row r="829" s="41" customFormat="1" ht="20.149999999999999" customHeight="1" thickTop="1" x14ac:dyDescent="0.35"/>
    <row r="830" s="41" customFormat="1" ht="20.149999999999999" customHeight="1" thickTop="1" x14ac:dyDescent="0.35"/>
    <row r="831" s="41" customFormat="1" ht="20.149999999999999" customHeight="1" thickTop="1" x14ac:dyDescent="0.35"/>
    <row r="832" s="41" customFormat="1" ht="20.149999999999999" customHeight="1" thickTop="1" x14ac:dyDescent="0.35"/>
    <row r="833" s="41" customFormat="1" ht="20.149999999999999" customHeight="1" thickTop="1" x14ac:dyDescent="0.35"/>
    <row r="834" s="41" customFormat="1" ht="20.149999999999999" customHeight="1" thickTop="1" x14ac:dyDescent="0.35"/>
    <row r="835" s="41" customFormat="1" ht="20.149999999999999" customHeight="1" thickTop="1" x14ac:dyDescent="0.35"/>
    <row r="836" s="41" customFormat="1" ht="20.149999999999999" customHeight="1" thickTop="1" x14ac:dyDescent="0.35"/>
    <row r="837" s="41" customFormat="1" ht="20.149999999999999" customHeight="1" thickTop="1" x14ac:dyDescent="0.35"/>
    <row r="838" s="41" customFormat="1" ht="20.149999999999999" customHeight="1" thickTop="1" x14ac:dyDescent="0.35"/>
    <row r="839" s="41" customFormat="1" ht="20.149999999999999" customHeight="1" thickTop="1" x14ac:dyDescent="0.35"/>
    <row r="840" s="41" customFormat="1" ht="20.149999999999999" customHeight="1" thickTop="1" x14ac:dyDescent="0.35"/>
    <row r="841" s="41" customFormat="1" ht="20.149999999999999" customHeight="1" thickTop="1" x14ac:dyDescent="0.35"/>
    <row r="842" s="41" customFormat="1" ht="20.149999999999999" customHeight="1" thickTop="1" x14ac:dyDescent="0.35"/>
    <row r="843" s="41" customFormat="1" ht="20.149999999999999" customHeight="1" thickTop="1" x14ac:dyDescent="0.35"/>
    <row r="844" s="41" customFormat="1" ht="20.149999999999999" customHeight="1" thickTop="1" x14ac:dyDescent="0.35"/>
    <row r="845" s="41" customFormat="1" ht="20.149999999999999" customHeight="1" thickTop="1" x14ac:dyDescent="0.35"/>
    <row r="846" s="41" customFormat="1" ht="20.149999999999999" customHeight="1" thickTop="1" x14ac:dyDescent="0.35"/>
    <row r="847" s="41" customFormat="1" ht="20.149999999999999" customHeight="1" thickTop="1" x14ac:dyDescent="0.35"/>
    <row r="848" s="41" customFormat="1" ht="20.149999999999999" customHeight="1" thickTop="1" x14ac:dyDescent="0.35"/>
    <row r="849" s="41" customFormat="1" ht="20.149999999999999" customHeight="1" thickTop="1" x14ac:dyDescent="0.35"/>
    <row r="850" s="41" customFormat="1" ht="20.149999999999999" customHeight="1" thickTop="1" x14ac:dyDescent="0.35"/>
    <row r="851" s="41" customFormat="1" ht="20.149999999999999" customHeight="1" thickTop="1" x14ac:dyDescent="0.35"/>
    <row r="852" s="41" customFormat="1" ht="20.149999999999999" customHeight="1" thickTop="1" x14ac:dyDescent="0.35"/>
    <row r="853" s="41" customFormat="1" ht="20.149999999999999" customHeight="1" thickTop="1" x14ac:dyDescent="0.35"/>
    <row r="854" s="41" customFormat="1" ht="20.149999999999999" customHeight="1" thickTop="1" x14ac:dyDescent="0.35"/>
    <row r="855" s="41" customFormat="1" ht="20.149999999999999" customHeight="1" thickTop="1" x14ac:dyDescent="0.35"/>
    <row r="856" s="41" customFormat="1" ht="20.149999999999999" customHeight="1" thickTop="1" x14ac:dyDescent="0.35"/>
    <row r="857" s="41" customFormat="1" ht="20.149999999999999" customHeight="1" thickTop="1" x14ac:dyDescent="0.35"/>
    <row r="858" s="41" customFormat="1" ht="20.149999999999999" customHeight="1" thickTop="1" x14ac:dyDescent="0.35"/>
    <row r="859" s="41" customFormat="1" ht="20.149999999999999" customHeight="1" thickTop="1" x14ac:dyDescent="0.35"/>
    <row r="860" s="41" customFormat="1" ht="20.149999999999999" customHeight="1" thickTop="1" x14ac:dyDescent="0.35"/>
    <row r="861" s="41" customFormat="1" ht="20.149999999999999" customHeight="1" thickTop="1" x14ac:dyDescent="0.35"/>
    <row r="862" s="41" customFormat="1" ht="20.149999999999999" customHeight="1" thickTop="1" x14ac:dyDescent="0.35"/>
    <row r="863" s="41" customFormat="1" ht="20.149999999999999" customHeight="1" thickTop="1" x14ac:dyDescent="0.35"/>
    <row r="864" s="41" customFormat="1" ht="20.149999999999999" customHeight="1" thickTop="1" x14ac:dyDescent="0.35"/>
    <row r="865" s="41" customFormat="1" ht="20.149999999999999" customHeight="1" thickTop="1" x14ac:dyDescent="0.35"/>
    <row r="866" s="41" customFormat="1" ht="20.149999999999999" customHeight="1" thickTop="1" x14ac:dyDescent="0.35"/>
    <row r="867" s="41" customFormat="1" ht="20.149999999999999" customHeight="1" thickTop="1" x14ac:dyDescent="0.35"/>
    <row r="868" s="41" customFormat="1" ht="20.149999999999999" customHeight="1" thickTop="1" x14ac:dyDescent="0.35"/>
    <row r="869" s="41" customFormat="1" ht="20.149999999999999" customHeight="1" thickTop="1" x14ac:dyDescent="0.35"/>
    <row r="870" s="41" customFormat="1" ht="20.149999999999999" customHeight="1" thickTop="1" x14ac:dyDescent="0.35"/>
    <row r="871" s="41" customFormat="1" ht="20.149999999999999" customHeight="1" thickTop="1" x14ac:dyDescent="0.35"/>
    <row r="872" s="41" customFormat="1" ht="20.149999999999999" customHeight="1" thickTop="1" x14ac:dyDescent="0.35"/>
    <row r="873" s="41" customFormat="1" ht="20.149999999999999" customHeight="1" thickTop="1" x14ac:dyDescent="0.35"/>
    <row r="874" s="41" customFormat="1" ht="20.149999999999999" customHeight="1" thickTop="1" x14ac:dyDescent="0.35"/>
    <row r="875" s="41" customFormat="1" ht="20.149999999999999" customHeight="1" thickTop="1" x14ac:dyDescent="0.35"/>
    <row r="876" s="41" customFormat="1" ht="20.149999999999999" customHeight="1" thickTop="1" x14ac:dyDescent="0.35"/>
    <row r="877" s="41" customFormat="1" ht="20.149999999999999" customHeight="1" thickTop="1" x14ac:dyDescent="0.35"/>
    <row r="878" s="41" customFormat="1" ht="20.149999999999999" customHeight="1" thickTop="1" x14ac:dyDescent="0.35"/>
    <row r="879" s="41" customFormat="1" ht="20.149999999999999" customHeight="1" thickTop="1" x14ac:dyDescent="0.35"/>
    <row r="880" s="41" customFormat="1" ht="20.149999999999999" customHeight="1" thickTop="1" x14ac:dyDescent="0.35"/>
    <row r="881" s="41" customFormat="1" ht="20.149999999999999" customHeight="1" thickTop="1" x14ac:dyDescent="0.35"/>
    <row r="882" s="41" customFormat="1" ht="20.149999999999999" customHeight="1" thickTop="1" x14ac:dyDescent="0.35"/>
    <row r="883" s="41" customFormat="1" ht="20.149999999999999" customHeight="1" thickTop="1" x14ac:dyDescent="0.35"/>
    <row r="884" s="41" customFormat="1" ht="20.149999999999999" customHeight="1" thickTop="1" x14ac:dyDescent="0.35"/>
    <row r="885" s="41" customFormat="1" ht="20.149999999999999" customHeight="1" thickTop="1" x14ac:dyDescent="0.35"/>
    <row r="886" s="41" customFormat="1" ht="20.149999999999999" customHeight="1" thickTop="1" x14ac:dyDescent="0.35"/>
    <row r="887" s="41" customFormat="1" ht="20.149999999999999" customHeight="1" thickTop="1" x14ac:dyDescent="0.35"/>
    <row r="888" s="41" customFormat="1" ht="20.149999999999999" customHeight="1" thickTop="1" x14ac:dyDescent="0.35"/>
    <row r="889" s="41" customFormat="1" ht="20.149999999999999" customHeight="1" thickTop="1" x14ac:dyDescent="0.35"/>
    <row r="890" s="41" customFormat="1" ht="20.149999999999999" customHeight="1" thickTop="1" x14ac:dyDescent="0.35"/>
    <row r="891" s="41" customFormat="1" ht="20.149999999999999" customHeight="1" thickTop="1" x14ac:dyDescent="0.35"/>
    <row r="892" s="41" customFormat="1" ht="20.149999999999999" customHeight="1" thickTop="1" x14ac:dyDescent="0.35"/>
    <row r="893" s="41" customFormat="1" ht="20.149999999999999" customHeight="1" thickTop="1" x14ac:dyDescent="0.35"/>
    <row r="894" s="41" customFormat="1" ht="20.149999999999999" customHeight="1" thickTop="1" x14ac:dyDescent="0.35"/>
    <row r="895" s="41" customFormat="1" ht="20.149999999999999" customHeight="1" thickTop="1" x14ac:dyDescent="0.35"/>
    <row r="896" s="41" customFormat="1" ht="20.149999999999999" customHeight="1" thickTop="1" x14ac:dyDescent="0.35"/>
    <row r="897" s="41" customFormat="1" ht="20.149999999999999" customHeight="1" thickTop="1" x14ac:dyDescent="0.35"/>
    <row r="898" s="41" customFormat="1" ht="20.149999999999999" customHeight="1" thickTop="1" x14ac:dyDescent="0.35"/>
    <row r="899" s="41" customFormat="1" ht="20.149999999999999" customHeight="1" thickTop="1" x14ac:dyDescent="0.35"/>
    <row r="900" s="41" customFormat="1" ht="20.149999999999999" customHeight="1" thickTop="1" x14ac:dyDescent="0.35"/>
    <row r="901" s="41" customFormat="1" ht="20.149999999999999" customHeight="1" thickTop="1" x14ac:dyDescent="0.35"/>
    <row r="902" s="41" customFormat="1" ht="20.149999999999999" customHeight="1" thickTop="1" x14ac:dyDescent="0.35"/>
    <row r="903" s="41" customFormat="1" ht="20.149999999999999" customHeight="1" thickTop="1" x14ac:dyDescent="0.35"/>
    <row r="904" s="41" customFormat="1" ht="20.149999999999999" customHeight="1" thickTop="1" x14ac:dyDescent="0.35"/>
    <row r="905" s="41" customFormat="1" ht="20.149999999999999" customHeight="1" thickTop="1" x14ac:dyDescent="0.35"/>
    <row r="906" s="41" customFormat="1" ht="20.149999999999999" customHeight="1" thickTop="1" x14ac:dyDescent="0.35"/>
    <row r="907" s="41" customFormat="1" ht="20.149999999999999" customHeight="1" thickTop="1" x14ac:dyDescent="0.35"/>
    <row r="908" s="41" customFormat="1" ht="20.149999999999999" customHeight="1" thickTop="1" x14ac:dyDescent="0.35"/>
    <row r="909" s="41" customFormat="1" ht="20.149999999999999" customHeight="1" thickTop="1" x14ac:dyDescent="0.35"/>
    <row r="910" s="41" customFormat="1" ht="20.149999999999999" customHeight="1" thickTop="1" x14ac:dyDescent="0.35"/>
    <row r="911" s="41" customFormat="1" ht="20.149999999999999" customHeight="1" thickTop="1" x14ac:dyDescent="0.35"/>
    <row r="912" s="41" customFormat="1" ht="20.149999999999999" customHeight="1" thickTop="1" x14ac:dyDescent="0.35"/>
    <row r="913" s="41" customFormat="1" ht="20.149999999999999" customHeight="1" thickTop="1" x14ac:dyDescent="0.35"/>
    <row r="914" s="41" customFormat="1" ht="20.149999999999999" customHeight="1" thickTop="1" x14ac:dyDescent="0.35"/>
    <row r="915" s="41" customFormat="1" ht="20.149999999999999" customHeight="1" thickTop="1" x14ac:dyDescent="0.35"/>
    <row r="916" s="41" customFormat="1" ht="20.149999999999999" customHeight="1" thickTop="1" x14ac:dyDescent="0.35"/>
    <row r="917" s="41" customFormat="1" ht="20.149999999999999" customHeight="1" thickTop="1" x14ac:dyDescent="0.35"/>
    <row r="918" s="41" customFormat="1" ht="20.149999999999999" customHeight="1" thickTop="1" x14ac:dyDescent="0.35"/>
    <row r="919" s="41" customFormat="1" ht="20.149999999999999" customHeight="1" thickTop="1" x14ac:dyDescent="0.35"/>
    <row r="920" s="41" customFormat="1" ht="20.149999999999999" customHeight="1" thickTop="1" x14ac:dyDescent="0.35"/>
    <row r="921" s="41" customFormat="1" ht="20.149999999999999" customHeight="1" thickTop="1" x14ac:dyDescent="0.35"/>
    <row r="922" s="41" customFormat="1" ht="20.149999999999999" customHeight="1" thickTop="1" x14ac:dyDescent="0.35"/>
    <row r="923" s="41" customFormat="1" ht="20.149999999999999" customHeight="1" thickTop="1" x14ac:dyDescent="0.35"/>
    <row r="924" s="41" customFormat="1" ht="20.149999999999999" customHeight="1" thickTop="1" x14ac:dyDescent="0.35"/>
    <row r="925" s="41" customFormat="1" ht="20.149999999999999" customHeight="1" thickTop="1" x14ac:dyDescent="0.35"/>
    <row r="926" s="41" customFormat="1" ht="20.149999999999999" customHeight="1" thickTop="1" x14ac:dyDescent="0.35"/>
    <row r="927" s="41" customFormat="1" ht="20.149999999999999" customHeight="1" thickTop="1" x14ac:dyDescent="0.35"/>
    <row r="928" s="41" customFormat="1" ht="20.149999999999999" customHeight="1" thickTop="1" x14ac:dyDescent="0.35"/>
    <row r="929" s="41" customFormat="1" ht="20.149999999999999" customHeight="1" thickTop="1" x14ac:dyDescent="0.35"/>
    <row r="930" s="41" customFormat="1" ht="20.149999999999999" customHeight="1" thickTop="1" x14ac:dyDescent="0.35"/>
    <row r="931" s="41" customFormat="1" ht="20.149999999999999" customHeight="1" thickTop="1" x14ac:dyDescent="0.35"/>
    <row r="932" s="41" customFormat="1" ht="20.149999999999999" customHeight="1" thickTop="1" x14ac:dyDescent="0.35"/>
    <row r="933" s="41" customFormat="1" ht="20.149999999999999" customHeight="1" thickTop="1" x14ac:dyDescent="0.35"/>
    <row r="934" s="41" customFormat="1" ht="20.149999999999999" customHeight="1" thickTop="1" x14ac:dyDescent="0.35"/>
    <row r="935" s="41" customFormat="1" ht="20.149999999999999" customHeight="1" thickTop="1" x14ac:dyDescent="0.35"/>
    <row r="936" s="41" customFormat="1" ht="20.149999999999999" customHeight="1" thickTop="1" x14ac:dyDescent="0.35"/>
    <row r="937" s="41" customFormat="1" ht="20.149999999999999" customHeight="1" thickTop="1" x14ac:dyDescent="0.35"/>
    <row r="938" s="41" customFormat="1" ht="20.149999999999999" customHeight="1" thickTop="1" x14ac:dyDescent="0.35"/>
    <row r="939" s="41" customFormat="1" ht="20.149999999999999" customHeight="1" thickTop="1" x14ac:dyDescent="0.35"/>
    <row r="940" s="41" customFormat="1" ht="20.149999999999999" customHeight="1" thickTop="1" x14ac:dyDescent="0.35"/>
    <row r="941" s="41" customFormat="1" ht="20.149999999999999" customHeight="1" thickTop="1" x14ac:dyDescent="0.35"/>
    <row r="942" s="41" customFormat="1" ht="20.149999999999999" customHeight="1" thickTop="1" x14ac:dyDescent="0.35"/>
    <row r="943" s="41" customFormat="1" ht="20.149999999999999" customHeight="1" thickTop="1" x14ac:dyDescent="0.35"/>
    <row r="944" s="41" customFormat="1" ht="20.149999999999999" customHeight="1" thickTop="1" x14ac:dyDescent="0.35"/>
    <row r="945" s="41" customFormat="1" ht="20.149999999999999" customHeight="1" thickTop="1" x14ac:dyDescent="0.35"/>
    <row r="946" s="41" customFormat="1" ht="20.149999999999999" customHeight="1" thickTop="1" x14ac:dyDescent="0.35"/>
    <row r="947" s="41" customFormat="1" ht="20.149999999999999" customHeight="1" thickTop="1" x14ac:dyDescent="0.35"/>
    <row r="948" s="41" customFormat="1" ht="20.149999999999999" customHeight="1" thickTop="1" x14ac:dyDescent="0.35"/>
    <row r="949" s="41" customFormat="1" ht="20.149999999999999" customHeight="1" thickTop="1" x14ac:dyDescent="0.35"/>
    <row r="950" s="41" customFormat="1" ht="20.149999999999999" customHeight="1" thickTop="1" x14ac:dyDescent="0.35"/>
    <row r="951" s="41" customFormat="1" ht="20.149999999999999" customHeight="1" thickTop="1" x14ac:dyDescent="0.35"/>
    <row r="952" s="41" customFormat="1" ht="20.149999999999999" customHeight="1" thickTop="1" x14ac:dyDescent="0.35"/>
    <row r="953" s="41" customFormat="1" ht="20.149999999999999" customHeight="1" thickTop="1" x14ac:dyDescent="0.35"/>
    <row r="954" s="41" customFormat="1" ht="20.149999999999999" customHeight="1" thickTop="1" x14ac:dyDescent="0.35"/>
    <row r="955" s="41" customFormat="1" ht="20.149999999999999" customHeight="1" thickTop="1" x14ac:dyDescent="0.35"/>
    <row r="956" s="41" customFormat="1" ht="20.149999999999999" customHeight="1" thickTop="1" x14ac:dyDescent="0.35"/>
    <row r="957" s="41" customFormat="1" ht="20.149999999999999" customHeight="1" thickTop="1" x14ac:dyDescent="0.35"/>
    <row r="958" s="41" customFormat="1" ht="20.149999999999999" customHeight="1" thickTop="1" x14ac:dyDescent="0.35"/>
    <row r="959" s="41" customFormat="1" ht="20.149999999999999" customHeight="1" thickTop="1" x14ac:dyDescent="0.35"/>
    <row r="960" s="41" customFormat="1" ht="20.149999999999999" customHeight="1" thickTop="1" x14ac:dyDescent="0.35"/>
    <row r="961" s="41" customFormat="1" ht="20.149999999999999" customHeight="1" thickTop="1" x14ac:dyDescent="0.35"/>
    <row r="962" s="41" customFormat="1" ht="20.149999999999999" customHeight="1" thickTop="1" x14ac:dyDescent="0.35"/>
    <row r="963" s="41" customFormat="1" ht="20.149999999999999" customHeight="1" thickTop="1" x14ac:dyDescent="0.35"/>
    <row r="964" s="41" customFormat="1" ht="20.149999999999999" customHeight="1" thickTop="1" x14ac:dyDescent="0.35"/>
    <row r="965" s="41" customFormat="1" ht="20.149999999999999" customHeight="1" thickTop="1" x14ac:dyDescent="0.35"/>
    <row r="966" s="41" customFormat="1" ht="20.149999999999999" customHeight="1" thickTop="1" x14ac:dyDescent="0.35"/>
    <row r="967" s="41" customFormat="1" ht="20.149999999999999" customHeight="1" thickTop="1" x14ac:dyDescent="0.35"/>
    <row r="968" s="41" customFormat="1" ht="20.149999999999999" customHeight="1" thickTop="1" x14ac:dyDescent="0.35"/>
    <row r="969" s="41" customFormat="1" ht="20.149999999999999" customHeight="1" thickTop="1" x14ac:dyDescent="0.35"/>
    <row r="970" s="41" customFormat="1" ht="20.149999999999999" customHeight="1" thickTop="1" x14ac:dyDescent="0.35"/>
    <row r="971" s="41" customFormat="1" ht="20.149999999999999" customHeight="1" thickTop="1" x14ac:dyDescent="0.35"/>
    <row r="972" s="41" customFormat="1" ht="20.149999999999999" customHeight="1" thickTop="1" x14ac:dyDescent="0.35"/>
    <row r="973" s="41" customFormat="1" ht="20.149999999999999" customHeight="1" thickTop="1" x14ac:dyDescent="0.35"/>
    <row r="974" s="41" customFormat="1" ht="20.149999999999999" customHeight="1" thickTop="1" x14ac:dyDescent="0.35"/>
    <row r="975" s="41" customFormat="1" ht="20.149999999999999" customHeight="1" thickTop="1" x14ac:dyDescent="0.35"/>
    <row r="976" s="41" customFormat="1" ht="20.149999999999999" customHeight="1" thickTop="1" x14ac:dyDescent="0.35"/>
    <row r="977" s="41" customFormat="1" ht="20.149999999999999" customHeight="1" thickTop="1" x14ac:dyDescent="0.35"/>
    <row r="978" s="41" customFormat="1" ht="20.149999999999999" customHeight="1" thickTop="1" x14ac:dyDescent="0.35"/>
    <row r="979" s="41" customFormat="1" ht="20.149999999999999" customHeight="1" thickTop="1" x14ac:dyDescent="0.35"/>
    <row r="980" s="41" customFormat="1" ht="20.149999999999999" customHeight="1" thickTop="1" x14ac:dyDescent="0.35"/>
    <row r="981" s="41" customFormat="1" ht="20.149999999999999" customHeight="1" thickTop="1" x14ac:dyDescent="0.35"/>
    <row r="982" s="41" customFormat="1" ht="20.149999999999999" customHeight="1" thickTop="1" x14ac:dyDescent="0.35"/>
    <row r="983" s="41" customFormat="1" ht="20.149999999999999" customHeight="1" thickTop="1" x14ac:dyDescent="0.35"/>
    <row r="984" s="41" customFormat="1" ht="20.149999999999999" customHeight="1" thickTop="1" x14ac:dyDescent="0.35"/>
    <row r="985" s="41" customFormat="1" ht="20.149999999999999" customHeight="1" thickTop="1" x14ac:dyDescent="0.35"/>
    <row r="986" s="41" customFormat="1" ht="20.149999999999999" customHeight="1" thickTop="1" x14ac:dyDescent="0.35"/>
    <row r="987" s="41" customFormat="1" ht="20.149999999999999" customHeight="1" thickTop="1" x14ac:dyDescent="0.35"/>
    <row r="988" s="41" customFormat="1" ht="20.149999999999999" customHeight="1" thickTop="1" x14ac:dyDescent="0.35"/>
    <row r="989" s="41" customFormat="1" ht="20.149999999999999" customHeight="1" thickTop="1" x14ac:dyDescent="0.35"/>
    <row r="990" s="41" customFormat="1" ht="20.149999999999999" customHeight="1" thickTop="1" x14ac:dyDescent="0.35"/>
    <row r="991" s="41" customFormat="1" ht="20.149999999999999" customHeight="1" thickTop="1" x14ac:dyDescent="0.35"/>
    <row r="992" s="41" customFormat="1" ht="20.149999999999999" customHeight="1" thickTop="1" x14ac:dyDescent="0.35"/>
    <row r="993" s="41" customFormat="1" ht="20.149999999999999" customHeight="1" thickTop="1" x14ac:dyDescent="0.35"/>
    <row r="994" s="41" customFormat="1" ht="20.149999999999999" customHeight="1" thickTop="1" x14ac:dyDescent="0.35"/>
    <row r="995" s="41" customFormat="1" ht="20.149999999999999" customHeight="1" thickTop="1" x14ac:dyDescent="0.35"/>
    <row r="996" s="41" customFormat="1" ht="20.149999999999999" customHeight="1" thickTop="1" x14ac:dyDescent="0.35"/>
    <row r="997" s="41" customFormat="1" ht="20.149999999999999" customHeight="1" thickTop="1" x14ac:dyDescent="0.35"/>
    <row r="998" s="41" customFormat="1" ht="20.149999999999999" customHeight="1" thickTop="1" x14ac:dyDescent="0.35"/>
    <row r="999" s="41" customFormat="1" ht="20.149999999999999" customHeight="1" thickTop="1" x14ac:dyDescent="0.35"/>
    <row r="1000" s="41" customFormat="1" ht="20.149999999999999" customHeight="1" thickTop="1" x14ac:dyDescent="0.35"/>
    <row r="1001" s="41" customFormat="1" ht="20.149999999999999" customHeight="1" thickTop="1" x14ac:dyDescent="0.35"/>
    <row r="1002" s="41" customFormat="1" ht="20.149999999999999" customHeight="1" thickTop="1" x14ac:dyDescent="0.35"/>
    <row r="1003" s="41" customFormat="1" ht="20.149999999999999" customHeight="1" thickTop="1" x14ac:dyDescent="0.35"/>
    <row r="1004" s="41" customFormat="1" ht="20.149999999999999" customHeight="1" thickTop="1" x14ac:dyDescent="0.35"/>
    <row r="1005" s="41" customFormat="1" ht="20.149999999999999" customHeight="1" thickTop="1" x14ac:dyDescent="0.35"/>
    <row r="1006" s="41" customFormat="1" ht="20.149999999999999" customHeight="1" thickTop="1" x14ac:dyDescent="0.35"/>
    <row r="1007" s="41" customFormat="1" ht="20.149999999999999" customHeight="1" thickTop="1" x14ac:dyDescent="0.35"/>
    <row r="1008" s="41" customFormat="1" ht="20.149999999999999" customHeight="1" thickTop="1" x14ac:dyDescent="0.35"/>
    <row r="1009" s="41" customFormat="1" ht="20.149999999999999" customHeight="1" thickTop="1" x14ac:dyDescent="0.35"/>
    <row r="1010" s="41" customFormat="1" ht="20.149999999999999" customHeight="1" thickTop="1" x14ac:dyDescent="0.35"/>
    <row r="1011" s="41" customFormat="1" ht="20.149999999999999" customHeight="1" thickTop="1" x14ac:dyDescent="0.35"/>
    <row r="1012" s="41" customFormat="1" ht="20.149999999999999" customHeight="1" thickTop="1" x14ac:dyDescent="0.35"/>
    <row r="1013" s="41" customFormat="1" ht="20.149999999999999" customHeight="1" thickTop="1" x14ac:dyDescent="0.35"/>
    <row r="1014" s="41" customFormat="1" ht="20.149999999999999" customHeight="1" thickTop="1" x14ac:dyDescent="0.35"/>
    <row r="1015" s="41" customFormat="1" ht="20.149999999999999" customHeight="1" thickTop="1" x14ac:dyDescent="0.35"/>
    <row r="1016" s="41" customFormat="1" ht="20.149999999999999" customHeight="1" thickTop="1" x14ac:dyDescent="0.35"/>
    <row r="1017" s="41" customFormat="1" ht="20.149999999999999" customHeight="1" thickTop="1" x14ac:dyDescent="0.35"/>
    <row r="1018" s="41" customFormat="1" ht="20.149999999999999" customHeight="1" thickTop="1" x14ac:dyDescent="0.35"/>
    <row r="1019" s="41" customFormat="1" ht="20.149999999999999" customHeight="1" thickTop="1" x14ac:dyDescent="0.35"/>
    <row r="1020" s="41" customFormat="1" ht="20.149999999999999" customHeight="1" thickTop="1" x14ac:dyDescent="0.35"/>
    <row r="1021" s="41" customFormat="1" ht="20.149999999999999" customHeight="1" thickTop="1" x14ac:dyDescent="0.35"/>
    <row r="1022" s="41" customFormat="1" ht="20.149999999999999" customHeight="1" thickTop="1" x14ac:dyDescent="0.35"/>
    <row r="1023" s="41" customFormat="1" ht="20.149999999999999" customHeight="1" thickTop="1" x14ac:dyDescent="0.35"/>
    <row r="1024" s="41" customFormat="1" ht="20.149999999999999" customHeight="1" thickTop="1" x14ac:dyDescent="0.35"/>
    <row r="1025" s="41" customFormat="1" ht="20.149999999999999" customHeight="1" thickTop="1" x14ac:dyDescent="0.35"/>
    <row r="1026" s="41" customFormat="1" ht="20.149999999999999" customHeight="1" thickTop="1" x14ac:dyDescent="0.35"/>
    <row r="1027" s="41" customFormat="1" ht="20.149999999999999" customHeight="1" thickTop="1" x14ac:dyDescent="0.35"/>
    <row r="1028" s="41" customFormat="1" ht="20.149999999999999" customHeight="1" thickTop="1" x14ac:dyDescent="0.35"/>
    <row r="1029" s="41" customFormat="1" ht="20.149999999999999" customHeight="1" thickTop="1" x14ac:dyDescent="0.35"/>
    <row r="1030" s="41" customFormat="1" ht="20.149999999999999" customHeight="1" thickTop="1" x14ac:dyDescent="0.35"/>
    <row r="1031" s="41" customFormat="1" ht="20.149999999999999" customHeight="1" thickTop="1" x14ac:dyDescent="0.35"/>
    <row r="1032" s="41" customFormat="1" ht="20.149999999999999" customHeight="1" thickTop="1" x14ac:dyDescent="0.35"/>
    <row r="1033" s="41" customFormat="1" ht="20.149999999999999" customHeight="1" thickTop="1" x14ac:dyDescent="0.35"/>
    <row r="1034" s="41" customFormat="1" ht="20.149999999999999" customHeight="1" thickTop="1" x14ac:dyDescent="0.35"/>
    <row r="1035" s="41" customFormat="1" ht="20.149999999999999" customHeight="1" thickTop="1" x14ac:dyDescent="0.35"/>
    <row r="1036" s="41" customFormat="1" ht="20.149999999999999" customHeight="1" thickTop="1" x14ac:dyDescent="0.35"/>
    <row r="1037" s="41" customFormat="1" ht="20.149999999999999" customHeight="1" thickTop="1" x14ac:dyDescent="0.35"/>
    <row r="1038" s="41" customFormat="1" ht="20.149999999999999" customHeight="1" thickTop="1" x14ac:dyDescent="0.35"/>
    <row r="1039" s="41" customFormat="1" ht="20.149999999999999" customHeight="1" thickTop="1" x14ac:dyDescent="0.35"/>
    <row r="1040" s="41" customFormat="1" ht="20.149999999999999" customHeight="1" thickTop="1" x14ac:dyDescent="0.35"/>
    <row r="1041" s="41" customFormat="1" ht="20.149999999999999" customHeight="1" thickTop="1" x14ac:dyDescent="0.35"/>
    <row r="1042" s="41" customFormat="1" ht="20.149999999999999" customHeight="1" thickTop="1" x14ac:dyDescent="0.35"/>
    <row r="1043" s="41" customFormat="1" ht="20.149999999999999" customHeight="1" thickTop="1" x14ac:dyDescent="0.35"/>
    <row r="1044" s="41" customFormat="1" ht="20.149999999999999" customHeight="1" thickTop="1" x14ac:dyDescent="0.35"/>
    <row r="1045" s="41" customFormat="1" ht="20.149999999999999" customHeight="1" thickTop="1" x14ac:dyDescent="0.35"/>
    <row r="1046" s="41" customFormat="1" ht="20.149999999999999" customHeight="1" thickTop="1" x14ac:dyDescent="0.35"/>
    <row r="1047" s="41" customFormat="1" ht="20.149999999999999" customHeight="1" thickTop="1" x14ac:dyDescent="0.35"/>
    <row r="1048" s="41" customFormat="1" ht="20.149999999999999" customHeight="1" thickTop="1" x14ac:dyDescent="0.35"/>
    <row r="1049" s="41" customFormat="1" ht="20.149999999999999" customHeight="1" thickTop="1" x14ac:dyDescent="0.35"/>
    <row r="1050" s="41" customFormat="1" ht="20.149999999999999" customHeight="1" thickTop="1" x14ac:dyDescent="0.35"/>
    <row r="1051" s="41" customFormat="1" ht="20.149999999999999" customHeight="1" thickTop="1" x14ac:dyDescent="0.35"/>
    <row r="1052" s="41" customFormat="1" ht="20.149999999999999" customHeight="1" thickTop="1" x14ac:dyDescent="0.35"/>
    <row r="1053" s="41" customFormat="1" ht="20.149999999999999" customHeight="1" thickTop="1" x14ac:dyDescent="0.35"/>
    <row r="1054" s="41" customFormat="1" ht="20.149999999999999" customHeight="1" thickTop="1" x14ac:dyDescent="0.35"/>
    <row r="1055" s="41" customFormat="1" ht="20.149999999999999" customHeight="1" thickTop="1" x14ac:dyDescent="0.35"/>
    <row r="1056" s="41" customFormat="1" ht="20.149999999999999" customHeight="1" thickTop="1" x14ac:dyDescent="0.35"/>
    <row r="1057" s="41" customFormat="1" ht="20.149999999999999" customHeight="1" thickTop="1" x14ac:dyDescent="0.35"/>
    <row r="1058" s="41" customFormat="1" ht="20.149999999999999" customHeight="1" thickTop="1" x14ac:dyDescent="0.35"/>
    <row r="1059" s="41" customFormat="1" ht="20.149999999999999" customHeight="1" thickTop="1" x14ac:dyDescent="0.35"/>
    <row r="1060" s="41" customFormat="1" ht="20.149999999999999" customHeight="1" thickTop="1" x14ac:dyDescent="0.35"/>
    <row r="1061" s="41" customFormat="1" ht="20.149999999999999" customHeight="1" thickTop="1" x14ac:dyDescent="0.35"/>
    <row r="1062" s="41" customFormat="1" ht="20.149999999999999" customHeight="1" thickTop="1" x14ac:dyDescent="0.35"/>
    <row r="1063" s="41" customFormat="1" ht="20.149999999999999" customHeight="1" thickTop="1" x14ac:dyDescent="0.35"/>
    <row r="1064" s="41" customFormat="1" ht="20.149999999999999" customHeight="1" thickTop="1" x14ac:dyDescent="0.35"/>
    <row r="1065" s="41" customFormat="1" ht="20.149999999999999" customHeight="1" thickTop="1" x14ac:dyDescent="0.35"/>
    <row r="1066" s="41" customFormat="1" ht="20.149999999999999" customHeight="1" thickTop="1" x14ac:dyDescent="0.35"/>
    <row r="1067" s="41" customFormat="1" ht="20.149999999999999" customHeight="1" thickTop="1" x14ac:dyDescent="0.35"/>
    <row r="1068" s="41" customFormat="1" ht="20.149999999999999" customHeight="1" thickTop="1" x14ac:dyDescent="0.35"/>
    <row r="1069" s="41" customFormat="1" ht="20.149999999999999" customHeight="1" thickTop="1" x14ac:dyDescent="0.35"/>
    <row r="1070" s="41" customFormat="1" ht="20.149999999999999" customHeight="1" thickTop="1" x14ac:dyDescent="0.35"/>
    <row r="1071" s="41" customFormat="1" ht="20.149999999999999" customHeight="1" thickTop="1" x14ac:dyDescent="0.35"/>
    <row r="1072" s="41" customFormat="1" ht="20.149999999999999" customHeight="1" thickTop="1" x14ac:dyDescent="0.35"/>
    <row r="1073" s="41" customFormat="1" ht="20.149999999999999" customHeight="1" thickTop="1" x14ac:dyDescent="0.35"/>
    <row r="1074" s="41" customFormat="1" ht="20.149999999999999" customHeight="1" thickTop="1" x14ac:dyDescent="0.35"/>
    <row r="1075" s="41" customFormat="1" ht="20.149999999999999" customHeight="1" thickTop="1" x14ac:dyDescent="0.35"/>
    <row r="1076" s="41" customFormat="1" ht="20.149999999999999" customHeight="1" thickTop="1" x14ac:dyDescent="0.35"/>
    <row r="1077" s="41" customFormat="1" ht="20.149999999999999" customHeight="1" thickTop="1" x14ac:dyDescent="0.35"/>
    <row r="1078" s="41" customFormat="1" ht="20.149999999999999" customHeight="1" thickTop="1" x14ac:dyDescent="0.35"/>
    <row r="1079" s="41" customFormat="1" ht="20.149999999999999" customHeight="1" thickTop="1" x14ac:dyDescent="0.35"/>
    <row r="1080" s="41" customFormat="1" ht="20.149999999999999" customHeight="1" thickTop="1" x14ac:dyDescent="0.35"/>
    <row r="1081" s="41" customFormat="1" ht="20.149999999999999" customHeight="1" thickTop="1" x14ac:dyDescent="0.35"/>
    <row r="1082" s="41" customFormat="1" ht="20.149999999999999" customHeight="1" thickTop="1" x14ac:dyDescent="0.35"/>
    <row r="1083" s="41" customFormat="1" ht="20.149999999999999" customHeight="1" thickTop="1" x14ac:dyDescent="0.35"/>
    <row r="1084" s="41" customFormat="1" ht="20.149999999999999" customHeight="1" thickTop="1" x14ac:dyDescent="0.35"/>
    <row r="1085" s="41" customFormat="1" ht="20.149999999999999" customHeight="1" thickTop="1" x14ac:dyDescent="0.35"/>
    <row r="1086" s="41" customFormat="1" ht="20.149999999999999" customHeight="1" thickTop="1" x14ac:dyDescent="0.35"/>
    <row r="1087" s="41" customFormat="1" ht="20.149999999999999" customHeight="1" thickTop="1" x14ac:dyDescent="0.35"/>
    <row r="1088" s="41" customFormat="1" ht="20.149999999999999" customHeight="1" thickTop="1" x14ac:dyDescent="0.35"/>
    <row r="1089" s="41" customFormat="1" ht="20.149999999999999" customHeight="1" thickTop="1" x14ac:dyDescent="0.35"/>
    <row r="1090" s="41" customFormat="1" ht="20.149999999999999" customHeight="1" thickTop="1" x14ac:dyDescent="0.35"/>
    <row r="1091" s="41" customFormat="1" ht="20.149999999999999" customHeight="1" thickTop="1" x14ac:dyDescent="0.35"/>
    <row r="1092" s="41" customFormat="1" ht="20.149999999999999" customHeight="1" thickTop="1" x14ac:dyDescent="0.35"/>
    <row r="1093" s="41" customFormat="1" ht="20.149999999999999" customHeight="1" thickTop="1" x14ac:dyDescent="0.35"/>
    <row r="1094" s="41" customFormat="1" ht="20.149999999999999" customHeight="1" thickTop="1" x14ac:dyDescent="0.35"/>
    <row r="1095" s="41" customFormat="1" ht="20.149999999999999" customHeight="1" thickTop="1" x14ac:dyDescent="0.35"/>
    <row r="1096" s="41" customFormat="1" ht="20.149999999999999" customHeight="1" thickTop="1" x14ac:dyDescent="0.35"/>
    <row r="1097" s="41" customFormat="1" ht="20.149999999999999" customHeight="1" thickTop="1" x14ac:dyDescent="0.35"/>
    <row r="1098" s="41" customFormat="1" ht="20.149999999999999" customHeight="1" thickTop="1" x14ac:dyDescent="0.35"/>
    <row r="1099" s="41" customFormat="1" ht="20.149999999999999" customHeight="1" thickTop="1" x14ac:dyDescent="0.35"/>
    <row r="1100" s="41" customFormat="1" ht="20.149999999999999" customHeight="1" thickTop="1" x14ac:dyDescent="0.35"/>
    <row r="1101" s="41" customFormat="1" ht="20.149999999999999" customHeight="1" thickTop="1" x14ac:dyDescent="0.35"/>
    <row r="1102" s="41" customFormat="1" ht="20.149999999999999" customHeight="1" thickTop="1" x14ac:dyDescent="0.35"/>
    <row r="1103" s="41" customFormat="1" ht="20.149999999999999" customHeight="1" thickTop="1" x14ac:dyDescent="0.35"/>
    <row r="1104" s="41" customFormat="1" ht="20.149999999999999" customHeight="1" thickTop="1" x14ac:dyDescent="0.35"/>
    <row r="1105" s="41" customFormat="1" ht="20.149999999999999" customHeight="1" thickTop="1" x14ac:dyDescent="0.35"/>
    <row r="1106" s="41" customFormat="1" ht="20.149999999999999" customHeight="1" thickTop="1" x14ac:dyDescent="0.35"/>
    <row r="1107" s="41" customFormat="1" ht="20.149999999999999" customHeight="1" thickTop="1" x14ac:dyDescent="0.35"/>
    <row r="1108" s="41" customFormat="1" ht="20.149999999999999" customHeight="1" thickTop="1" x14ac:dyDescent="0.35"/>
    <row r="1109" s="41" customFormat="1" ht="20.149999999999999" customHeight="1" thickTop="1" x14ac:dyDescent="0.35"/>
    <row r="1110" s="41" customFormat="1" ht="20.149999999999999" customHeight="1" thickTop="1" x14ac:dyDescent="0.35"/>
    <row r="1111" s="41" customFormat="1" ht="20.149999999999999" customHeight="1" thickTop="1" x14ac:dyDescent="0.35"/>
    <row r="1112" s="41" customFormat="1" ht="20.149999999999999" customHeight="1" thickTop="1" x14ac:dyDescent="0.35"/>
    <row r="1113" s="41" customFormat="1" ht="20.149999999999999" customHeight="1" thickTop="1" x14ac:dyDescent="0.35"/>
    <row r="1114" s="41" customFormat="1" ht="20.149999999999999" customHeight="1" thickTop="1" x14ac:dyDescent="0.35"/>
    <row r="1115" s="41" customFormat="1" ht="20.149999999999999" customHeight="1" thickTop="1" x14ac:dyDescent="0.35"/>
    <row r="1116" s="41" customFormat="1" ht="20.149999999999999" customHeight="1" thickTop="1" x14ac:dyDescent="0.35"/>
    <row r="1117" s="41" customFormat="1" ht="20.149999999999999" customHeight="1" thickTop="1" x14ac:dyDescent="0.35"/>
    <row r="1118" s="41" customFormat="1" ht="20.149999999999999" customHeight="1" thickTop="1" x14ac:dyDescent="0.35"/>
    <row r="1119" s="41" customFormat="1" ht="20.149999999999999" customHeight="1" thickTop="1" x14ac:dyDescent="0.35"/>
    <row r="1120" s="41" customFormat="1" ht="20.149999999999999" customHeight="1" thickTop="1" x14ac:dyDescent="0.35"/>
    <row r="1121" s="41" customFormat="1" ht="20.149999999999999" customHeight="1" thickTop="1" x14ac:dyDescent="0.35"/>
    <row r="1122" s="41" customFormat="1" ht="20.149999999999999" customHeight="1" thickTop="1" x14ac:dyDescent="0.35"/>
    <row r="1123" s="41" customFormat="1" ht="20.149999999999999" customHeight="1" thickTop="1" x14ac:dyDescent="0.35"/>
    <row r="1124" s="41" customFormat="1" ht="20.149999999999999" customHeight="1" thickTop="1" x14ac:dyDescent="0.35"/>
    <row r="1125" s="41" customFormat="1" ht="20.149999999999999" customHeight="1" thickTop="1" x14ac:dyDescent="0.35"/>
    <row r="1126" s="41" customFormat="1" ht="20.149999999999999" customHeight="1" thickTop="1" x14ac:dyDescent="0.35"/>
    <row r="1127" s="41" customFormat="1" ht="20.149999999999999" customHeight="1" thickTop="1" x14ac:dyDescent="0.35"/>
    <row r="1128" s="41" customFormat="1" ht="20.149999999999999" customHeight="1" thickTop="1" x14ac:dyDescent="0.35"/>
    <row r="1129" s="41" customFormat="1" ht="20.149999999999999" customHeight="1" thickTop="1" x14ac:dyDescent="0.35"/>
    <row r="1130" s="41" customFormat="1" ht="20.149999999999999" customHeight="1" thickTop="1" x14ac:dyDescent="0.35"/>
    <row r="1131" s="41" customFormat="1" ht="20.149999999999999" customHeight="1" thickTop="1" x14ac:dyDescent="0.35"/>
    <row r="1132" s="41" customFormat="1" ht="20.149999999999999" customHeight="1" thickTop="1" x14ac:dyDescent="0.35"/>
    <row r="1133" s="41" customFormat="1" ht="20.149999999999999" customHeight="1" thickTop="1" x14ac:dyDescent="0.35"/>
    <row r="1134" s="41" customFormat="1" ht="20.149999999999999" customHeight="1" thickTop="1" x14ac:dyDescent="0.35"/>
    <row r="1135" s="41" customFormat="1" ht="20.149999999999999" customHeight="1" thickTop="1" x14ac:dyDescent="0.35"/>
    <row r="1136" s="41" customFormat="1" ht="20.149999999999999" customHeight="1" thickTop="1" x14ac:dyDescent="0.35"/>
    <row r="1137" s="41" customFormat="1" ht="20.149999999999999" customHeight="1" thickTop="1" x14ac:dyDescent="0.35"/>
    <row r="1138" s="41" customFormat="1" ht="20.149999999999999" customHeight="1" thickTop="1" x14ac:dyDescent="0.35"/>
    <row r="1139" s="41" customFormat="1" ht="20.149999999999999" customHeight="1" thickTop="1" x14ac:dyDescent="0.35"/>
    <row r="1140" s="41" customFormat="1" ht="20.149999999999999" customHeight="1" thickTop="1" x14ac:dyDescent="0.35"/>
    <row r="1141" s="41" customFormat="1" ht="20.149999999999999" customHeight="1" thickTop="1" x14ac:dyDescent="0.35"/>
    <row r="1142" s="41" customFormat="1" ht="20.149999999999999" customHeight="1" thickTop="1" x14ac:dyDescent="0.35"/>
    <row r="1143" s="41" customFormat="1" ht="20.149999999999999" customHeight="1" thickTop="1" x14ac:dyDescent="0.35"/>
    <row r="1144" s="41" customFormat="1" ht="20.149999999999999" customHeight="1" thickTop="1" x14ac:dyDescent="0.35"/>
    <row r="1145" s="41" customFormat="1" ht="20.149999999999999" customHeight="1" thickTop="1" x14ac:dyDescent="0.35"/>
    <row r="1146" s="41" customFormat="1" ht="20.149999999999999" customHeight="1" thickTop="1" x14ac:dyDescent="0.35"/>
    <row r="1147" s="41" customFormat="1" ht="20.149999999999999" customHeight="1" thickTop="1" x14ac:dyDescent="0.35"/>
    <row r="1148" s="41" customFormat="1" ht="20.149999999999999" customHeight="1" thickTop="1" x14ac:dyDescent="0.35"/>
    <row r="1149" s="41" customFormat="1" ht="20.149999999999999" customHeight="1" thickTop="1" x14ac:dyDescent="0.35"/>
    <row r="1150" s="41" customFormat="1" ht="20.149999999999999" customHeight="1" thickTop="1" x14ac:dyDescent="0.35"/>
    <row r="1151" s="41" customFormat="1" ht="20.149999999999999" customHeight="1" thickTop="1" x14ac:dyDescent="0.35"/>
    <row r="1152" s="41" customFormat="1" ht="20.149999999999999" customHeight="1" thickTop="1" x14ac:dyDescent="0.35"/>
    <row r="1153" s="41" customFormat="1" ht="20.149999999999999" customHeight="1" thickTop="1" x14ac:dyDescent="0.35"/>
    <row r="1154" s="41" customFormat="1" ht="20.149999999999999" customHeight="1" thickTop="1" x14ac:dyDescent="0.35"/>
    <row r="1155" s="41" customFormat="1" ht="20.149999999999999" customHeight="1" thickTop="1" x14ac:dyDescent="0.35"/>
    <row r="1156" s="41" customFormat="1" ht="20.149999999999999" customHeight="1" thickTop="1" x14ac:dyDescent="0.35"/>
    <row r="1157" s="41" customFormat="1" ht="20.149999999999999" customHeight="1" thickTop="1" x14ac:dyDescent="0.35"/>
    <row r="1158" s="41" customFormat="1" ht="20.149999999999999" customHeight="1" thickTop="1" x14ac:dyDescent="0.35"/>
    <row r="1159" s="41" customFormat="1" ht="20.149999999999999" customHeight="1" thickTop="1" x14ac:dyDescent="0.35"/>
    <row r="1160" s="41" customFormat="1" ht="20.149999999999999" customHeight="1" thickTop="1" x14ac:dyDescent="0.35"/>
    <row r="1161" s="41" customFormat="1" ht="20.149999999999999" customHeight="1" thickTop="1" x14ac:dyDescent="0.35"/>
    <row r="1162" s="41" customFormat="1" ht="20.149999999999999" customHeight="1" thickTop="1" x14ac:dyDescent="0.35"/>
    <row r="1163" s="41" customFormat="1" ht="20.149999999999999" customHeight="1" thickTop="1" x14ac:dyDescent="0.35"/>
    <row r="1164" s="41" customFormat="1" ht="20.149999999999999" customHeight="1" thickTop="1" x14ac:dyDescent="0.35"/>
    <row r="1165" s="41" customFormat="1" ht="20.149999999999999" customHeight="1" thickTop="1" x14ac:dyDescent="0.35"/>
    <row r="1166" s="41" customFormat="1" ht="20.149999999999999" customHeight="1" thickTop="1" x14ac:dyDescent="0.35"/>
    <row r="1167" s="41" customFormat="1" ht="20.149999999999999" customHeight="1" thickTop="1" x14ac:dyDescent="0.35"/>
    <row r="1168" s="41" customFormat="1" ht="20.149999999999999" customHeight="1" thickTop="1" x14ac:dyDescent="0.35"/>
    <row r="1169" s="41" customFormat="1" ht="20.149999999999999" customHeight="1" thickTop="1" x14ac:dyDescent="0.35"/>
    <row r="1170" s="41" customFormat="1" ht="20.149999999999999" customHeight="1" thickTop="1" x14ac:dyDescent="0.35"/>
    <row r="1171" s="41" customFormat="1" ht="20.149999999999999" customHeight="1" thickTop="1" x14ac:dyDescent="0.35"/>
    <row r="1172" s="41" customFormat="1" ht="20.149999999999999" customHeight="1" thickTop="1" x14ac:dyDescent="0.35"/>
    <row r="1173" s="41" customFormat="1" ht="20.149999999999999" customHeight="1" thickTop="1" x14ac:dyDescent="0.35"/>
    <row r="1174" s="41" customFormat="1" ht="20.149999999999999" customHeight="1" thickTop="1" x14ac:dyDescent="0.35"/>
    <row r="1175" s="41" customFormat="1" ht="20.149999999999999" customHeight="1" thickTop="1" x14ac:dyDescent="0.35"/>
    <row r="1176" s="41" customFormat="1" ht="20.149999999999999" customHeight="1" thickTop="1" x14ac:dyDescent="0.35"/>
    <row r="1177" s="41" customFormat="1" ht="20.149999999999999" customHeight="1" thickTop="1" x14ac:dyDescent="0.35"/>
    <row r="1178" s="41" customFormat="1" ht="20.149999999999999" customHeight="1" thickTop="1" x14ac:dyDescent="0.35"/>
    <row r="1179" s="41" customFormat="1" ht="20.149999999999999" customHeight="1" thickTop="1" x14ac:dyDescent="0.35"/>
    <row r="1180" s="41" customFormat="1" ht="20.149999999999999" customHeight="1" thickTop="1" x14ac:dyDescent="0.35"/>
    <row r="1181" s="41" customFormat="1" ht="20.149999999999999" customHeight="1" thickTop="1" x14ac:dyDescent="0.35"/>
    <row r="1182" s="41" customFormat="1" ht="20.149999999999999" customHeight="1" thickTop="1" x14ac:dyDescent="0.35"/>
    <row r="1183" s="41" customFormat="1" ht="20.149999999999999" customHeight="1" thickTop="1" x14ac:dyDescent="0.35"/>
    <row r="1184" s="41" customFormat="1" ht="20.149999999999999" customHeight="1" thickTop="1" x14ac:dyDescent="0.35"/>
    <row r="1185" s="41" customFormat="1" ht="20.149999999999999" customHeight="1" thickTop="1" x14ac:dyDescent="0.35"/>
    <row r="1186" s="41" customFormat="1" ht="20.149999999999999" customHeight="1" thickTop="1" x14ac:dyDescent="0.35"/>
    <row r="1187" s="41" customFormat="1" ht="20.149999999999999" customHeight="1" thickTop="1" x14ac:dyDescent="0.35"/>
    <row r="1188" s="41" customFormat="1" ht="20.149999999999999" customHeight="1" thickTop="1" x14ac:dyDescent="0.35"/>
    <row r="1189" s="41" customFormat="1" ht="20.149999999999999" customHeight="1" thickTop="1" x14ac:dyDescent="0.35"/>
    <row r="1190" s="41" customFormat="1" ht="20.149999999999999" customHeight="1" thickTop="1" x14ac:dyDescent="0.35"/>
    <row r="1191" s="41" customFormat="1" ht="20.149999999999999" customHeight="1" thickTop="1" x14ac:dyDescent="0.35"/>
    <row r="1192" s="41" customFormat="1" ht="20.149999999999999" customHeight="1" thickTop="1" x14ac:dyDescent="0.35"/>
    <row r="1193" s="41" customFormat="1" ht="20.149999999999999" customHeight="1" thickTop="1" x14ac:dyDescent="0.35"/>
    <row r="1194" s="41" customFormat="1" ht="20.149999999999999" customHeight="1" thickTop="1" x14ac:dyDescent="0.35"/>
    <row r="1195" s="41" customFormat="1" ht="20.149999999999999" customHeight="1" thickTop="1" x14ac:dyDescent="0.35"/>
    <row r="1196" s="41" customFormat="1" ht="20.149999999999999" customHeight="1" thickTop="1" x14ac:dyDescent="0.35"/>
    <row r="1197" s="41" customFormat="1" ht="20.149999999999999" customHeight="1" thickTop="1" x14ac:dyDescent="0.35"/>
    <row r="1198" s="41" customFormat="1" ht="20.149999999999999" customHeight="1" thickTop="1" x14ac:dyDescent="0.35"/>
    <row r="1199" s="41" customFormat="1" ht="20.149999999999999" customHeight="1" thickTop="1" x14ac:dyDescent="0.35"/>
    <row r="1200" s="41" customFormat="1" ht="20.149999999999999" customHeight="1" thickTop="1" x14ac:dyDescent="0.35"/>
    <row r="1201" s="41" customFormat="1" ht="20.149999999999999" customHeight="1" thickTop="1" x14ac:dyDescent="0.35"/>
    <row r="1202" s="41" customFormat="1" ht="20.149999999999999" customHeight="1" thickTop="1" x14ac:dyDescent="0.35"/>
    <row r="1203" s="41" customFormat="1" ht="20.149999999999999" customHeight="1" thickTop="1" x14ac:dyDescent="0.35"/>
    <row r="1204" s="41" customFormat="1" ht="20.149999999999999" customHeight="1" thickTop="1" x14ac:dyDescent="0.35"/>
    <row r="1205" s="41" customFormat="1" ht="20.149999999999999" customHeight="1" thickTop="1" x14ac:dyDescent="0.35"/>
    <row r="1206" s="41" customFormat="1" ht="20.149999999999999" customHeight="1" thickTop="1" x14ac:dyDescent="0.35"/>
    <row r="1207" s="41" customFormat="1" ht="20.149999999999999" customHeight="1" thickTop="1" x14ac:dyDescent="0.35"/>
    <row r="1208" s="41" customFormat="1" ht="20.149999999999999" customHeight="1" thickTop="1" x14ac:dyDescent="0.35"/>
    <row r="1209" s="41" customFormat="1" ht="20.149999999999999" customHeight="1" thickTop="1" x14ac:dyDescent="0.35"/>
    <row r="1210" s="41" customFormat="1" ht="20.149999999999999" customHeight="1" thickTop="1" x14ac:dyDescent="0.35"/>
    <row r="1211" s="41" customFormat="1" ht="20.149999999999999" customHeight="1" thickTop="1" x14ac:dyDescent="0.35"/>
    <row r="1212" s="41" customFormat="1" ht="20.149999999999999" customHeight="1" thickTop="1" x14ac:dyDescent="0.35"/>
    <row r="1213" s="41" customFormat="1" ht="20.149999999999999" customHeight="1" thickTop="1" x14ac:dyDescent="0.35"/>
    <row r="1214" s="41" customFormat="1" ht="20.149999999999999" customHeight="1" thickTop="1" x14ac:dyDescent="0.35"/>
    <row r="1215" s="41" customFormat="1" ht="20.149999999999999" customHeight="1" thickTop="1" x14ac:dyDescent="0.35"/>
    <row r="1216" s="41" customFormat="1" ht="20.149999999999999" customHeight="1" thickTop="1" x14ac:dyDescent="0.35"/>
    <row r="1217" spans="10:15" s="41" customFormat="1" ht="20.149999999999999" customHeight="1" x14ac:dyDescent="0.35"/>
    <row r="1218" spans="10:15" s="41" customFormat="1" ht="20.149999999999999" customHeight="1" x14ac:dyDescent="0.35"/>
    <row r="1219" spans="10:15" s="41" customFormat="1" ht="20.149999999999999" customHeight="1" x14ac:dyDescent="0.35"/>
    <row r="1220" spans="10:15" s="41" customFormat="1" ht="20.149999999999999" customHeight="1" x14ac:dyDescent="0.35"/>
    <row r="1221" spans="10:15" s="41" customFormat="1" ht="20.149999999999999" customHeight="1" x14ac:dyDescent="0.35"/>
    <row r="1222" spans="10:15" s="41" customFormat="1" ht="20.149999999999999" customHeight="1" x14ac:dyDescent="0.35"/>
    <row r="1223" spans="10:15" s="41" customFormat="1" ht="20.149999999999999" customHeight="1" x14ac:dyDescent="0.35"/>
    <row r="1224" spans="10:15" s="41" customFormat="1" ht="20.149999999999999" customHeight="1" x14ac:dyDescent="0.35"/>
    <row r="1225" spans="10:15" s="41" customFormat="1" ht="20.149999999999999" customHeight="1" x14ac:dyDescent="0.35"/>
    <row r="1226" spans="10:15" s="41" customFormat="1" ht="20.149999999999999" customHeight="1" x14ac:dyDescent="0.35"/>
    <row r="1227" spans="10:15" s="41" customFormat="1" ht="20.149999999999999" customHeight="1" x14ac:dyDescent="0.35"/>
    <row r="1228" spans="10:15" s="41" customFormat="1" ht="20.149999999999999" customHeight="1" x14ac:dyDescent="0.35"/>
    <row r="1229" spans="10:15" s="41" customFormat="1" ht="20.149999999999999" customHeight="1" x14ac:dyDescent="0.35"/>
    <row r="1230" spans="10:15" s="41" customFormat="1" ht="20.149999999999999" customHeight="1" x14ac:dyDescent="0.35"/>
    <row r="1231" spans="10:15" s="41" customFormat="1" ht="20.149999999999999" customHeight="1" x14ac:dyDescent="0.35">
      <c r="J1231" s="1"/>
      <c r="K1231" s="1"/>
      <c r="L1231" s="1"/>
      <c r="M1231" s="1"/>
      <c r="N1231" s="1"/>
      <c r="O1231" s="1"/>
    </row>
    <row r="1232" spans="10:15" s="41" customFormat="1" ht="20.149999999999999" customHeight="1" x14ac:dyDescent="0.35">
      <c r="J1232" s="1"/>
      <c r="K1232" s="1"/>
      <c r="L1232" s="1"/>
      <c r="M1232" s="1"/>
      <c r="N1232" s="1"/>
      <c r="O1232" s="1"/>
    </row>
    <row r="1233" spans="3:28" s="41" customFormat="1" ht="20.149999999999999" customHeight="1" x14ac:dyDescent="0.35">
      <c r="J1233" s="1"/>
      <c r="K1233" s="1"/>
      <c r="L1233" s="1"/>
      <c r="M1233" s="1"/>
      <c r="N1233" s="1"/>
      <c r="O1233" s="1"/>
    </row>
    <row r="1234" spans="3:28" s="41" customFormat="1" ht="20.149999999999999" customHeight="1" x14ac:dyDescent="0.35">
      <c r="J1234" s="1"/>
      <c r="K1234" s="1"/>
      <c r="L1234" s="1"/>
      <c r="M1234" s="1"/>
      <c r="N1234" s="1"/>
      <c r="O1234" s="1"/>
      <c r="T1234" s="1"/>
    </row>
    <row r="1235" spans="3:28" s="41" customFormat="1" ht="20.149999999999999" customHeight="1" x14ac:dyDescent="0.35">
      <c r="J1235" s="1"/>
      <c r="K1235" s="1"/>
      <c r="L1235" s="1"/>
      <c r="M1235" s="1"/>
      <c r="N1235" s="1"/>
      <c r="O1235" s="1"/>
      <c r="Q1235" s="1"/>
      <c r="R1235" s="1"/>
      <c r="S1235" s="1"/>
      <c r="T1235" s="1"/>
    </row>
    <row r="1236" spans="3:28" s="41" customFormat="1" ht="20.149999999999999" customHeight="1" x14ac:dyDescent="0.35">
      <c r="C1236" s="1"/>
      <c r="D1236" s="1"/>
      <c r="E1236" s="1"/>
      <c r="F1236" s="1"/>
      <c r="G1236" s="1"/>
      <c r="H1236" s="1"/>
      <c r="J1236" s="1"/>
      <c r="K1236" s="1"/>
      <c r="L1236" s="1"/>
      <c r="M1236" s="1"/>
      <c r="N1236" s="1"/>
      <c r="O1236" s="1"/>
      <c r="Q1236" s="1"/>
      <c r="R1236" s="1"/>
      <c r="S1236" s="1"/>
      <c r="T1236" s="1"/>
    </row>
    <row r="1237" spans="3:28" s="41" customFormat="1" ht="20.149999999999999" customHeight="1" x14ac:dyDescent="0.35">
      <c r="C1237" s="1"/>
      <c r="D1237" s="1"/>
      <c r="E1237" s="1"/>
      <c r="F1237" s="1"/>
      <c r="G1237" s="1"/>
      <c r="H1237" s="1"/>
      <c r="J1237" s="1"/>
      <c r="K1237" s="1"/>
      <c r="L1237" s="1"/>
      <c r="M1237" s="1"/>
      <c r="N1237" s="1"/>
      <c r="O1237" s="1"/>
      <c r="Q1237" s="1"/>
      <c r="R1237" s="1"/>
      <c r="S1237" s="1"/>
      <c r="T1237" s="1"/>
    </row>
    <row r="1238" spans="3:28" s="41" customFormat="1" ht="20.149999999999999" customHeight="1" x14ac:dyDescent="0.35">
      <c r="C1238" s="1"/>
      <c r="D1238" s="1"/>
      <c r="E1238" s="1"/>
      <c r="F1238" s="1"/>
      <c r="G1238" s="1"/>
      <c r="H1238" s="1"/>
      <c r="J1238" s="1"/>
      <c r="K1238" s="1"/>
      <c r="L1238" s="1"/>
      <c r="M1238" s="1"/>
      <c r="N1238" s="1"/>
      <c r="O1238" s="1"/>
      <c r="Q1238" s="1"/>
      <c r="R1238" s="1"/>
      <c r="S1238" s="1"/>
      <c r="T1238" s="1"/>
    </row>
    <row r="1239" spans="3:28" s="41" customFormat="1" ht="20.149999999999999" customHeight="1" x14ac:dyDescent="0.35">
      <c r="C1239" s="1"/>
      <c r="D1239" s="1"/>
      <c r="E1239" s="1"/>
      <c r="F1239" s="1"/>
      <c r="G1239" s="1"/>
      <c r="H1239" s="1"/>
      <c r="J1239" s="1"/>
      <c r="K1239" s="1"/>
      <c r="L1239" s="1"/>
      <c r="M1239" s="1"/>
      <c r="N1239" s="1"/>
      <c r="O1239" s="1"/>
      <c r="Q1239" s="1"/>
      <c r="R1239" s="1"/>
      <c r="S1239" s="1"/>
      <c r="T1239" s="1"/>
    </row>
    <row r="1240" spans="3:28" s="41" customFormat="1" ht="20.149999999999999" customHeight="1" x14ac:dyDescent="0.35">
      <c r="C1240" s="1"/>
      <c r="D1240" s="1"/>
      <c r="E1240" s="1"/>
      <c r="F1240" s="1"/>
      <c r="G1240" s="1"/>
      <c r="H1240" s="1"/>
      <c r="J1240" s="1"/>
      <c r="K1240" s="1"/>
      <c r="L1240" s="1"/>
      <c r="M1240" s="1"/>
      <c r="N1240" s="1"/>
      <c r="O1240" s="1"/>
      <c r="Q1240" s="1"/>
      <c r="R1240" s="1"/>
      <c r="S1240" s="1"/>
      <c r="T1240" s="1"/>
    </row>
    <row r="1241" spans="3:28" s="41" customFormat="1" ht="20.149999999999999" customHeight="1" x14ac:dyDescent="0.35">
      <c r="C1241" s="1"/>
      <c r="D1241" s="1"/>
      <c r="E1241" s="1"/>
      <c r="F1241" s="1"/>
      <c r="G1241" s="1"/>
      <c r="H1241" s="1"/>
      <c r="J1241" s="1"/>
      <c r="K1241" s="1"/>
      <c r="L1241" s="1"/>
      <c r="M1241" s="1"/>
      <c r="N1241" s="1"/>
      <c r="O1241" s="1"/>
      <c r="Q1241" s="1"/>
      <c r="R1241" s="1"/>
      <c r="S1241" s="1"/>
      <c r="T1241" s="1"/>
      <c r="V1241" s="1"/>
      <c r="W1241" s="1"/>
      <c r="X1241" s="1"/>
      <c r="Y1241" s="1"/>
      <c r="Z1241" s="1"/>
      <c r="AA1241" s="1"/>
      <c r="AB1241" s="1"/>
    </row>
    <row r="1242" spans="3:28" s="41" customFormat="1" ht="20.149999999999999" customHeight="1" x14ac:dyDescent="0.35">
      <c r="C1242" s="1"/>
      <c r="D1242" s="1"/>
      <c r="E1242" s="1"/>
      <c r="F1242" s="1"/>
      <c r="G1242" s="1"/>
      <c r="H1242" s="1"/>
      <c r="J1242" s="1"/>
      <c r="K1242" s="1"/>
      <c r="L1242" s="1"/>
      <c r="M1242" s="1"/>
      <c r="N1242" s="1"/>
      <c r="O1242" s="1"/>
      <c r="Q1242" s="1"/>
      <c r="R1242" s="1"/>
      <c r="S1242" s="1"/>
      <c r="T1242" s="1"/>
      <c r="V1242" s="1"/>
      <c r="W1242" s="1"/>
      <c r="X1242" s="1"/>
      <c r="Y1242" s="1"/>
      <c r="Z1242" s="1"/>
      <c r="AA1242" s="1"/>
      <c r="AB1242" s="1"/>
    </row>
    <row r="1243" spans="3:28" s="41" customFormat="1" ht="20.149999999999999" customHeight="1" x14ac:dyDescent="0.35"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Q1243" s="1"/>
      <c r="R1243" s="1"/>
      <c r="S1243" s="1"/>
      <c r="T1243" s="1"/>
      <c r="V1243" s="1"/>
      <c r="W1243" s="1"/>
      <c r="X1243" s="1"/>
      <c r="Y1243" s="1"/>
      <c r="Z1243" s="1"/>
      <c r="AA1243" s="1"/>
      <c r="AB1243" s="1"/>
    </row>
    <row r="1244" spans="3:28" s="41" customFormat="1" ht="20.149999999999999" customHeight="1" x14ac:dyDescent="0.35"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Q1244" s="1"/>
      <c r="R1244" s="1"/>
      <c r="S1244" s="1"/>
      <c r="T1244" s="1"/>
      <c r="V1244" s="1"/>
      <c r="W1244" s="1"/>
      <c r="X1244" s="1"/>
      <c r="Y1244" s="1"/>
      <c r="Z1244" s="1"/>
      <c r="AA1244" s="1"/>
      <c r="AB1244" s="1"/>
    </row>
    <row r="1245" spans="3:28" s="41" customFormat="1" ht="20.149999999999999" customHeight="1" x14ac:dyDescent="0.35"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Q1245" s="1"/>
      <c r="R1245" s="1"/>
      <c r="S1245" s="1"/>
      <c r="T1245" s="1"/>
      <c r="V1245" s="1"/>
      <c r="W1245" s="1"/>
      <c r="X1245" s="1"/>
      <c r="Y1245" s="1"/>
      <c r="Z1245" s="1"/>
      <c r="AA1245" s="1"/>
      <c r="AB1245" s="1"/>
    </row>
    <row r="1246" spans="3:28" s="41" customFormat="1" ht="20.149999999999999" customHeight="1" x14ac:dyDescent="0.35"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Q1246" s="1"/>
      <c r="R1246" s="1"/>
      <c r="S1246" s="1"/>
      <c r="T1246" s="1"/>
      <c r="V1246" s="1"/>
      <c r="W1246" s="1"/>
      <c r="X1246" s="1"/>
      <c r="Y1246" s="1"/>
      <c r="Z1246" s="1"/>
      <c r="AA1246" s="1"/>
      <c r="AB1246" s="1"/>
    </row>
    <row r="1247" spans="3:28" s="41" customFormat="1" ht="20.149999999999999" customHeight="1" x14ac:dyDescent="0.35"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Q1247" s="1"/>
      <c r="R1247" s="1"/>
      <c r="S1247" s="1"/>
      <c r="T1247" s="1"/>
      <c r="V1247" s="1"/>
      <c r="W1247" s="1"/>
      <c r="X1247" s="1"/>
      <c r="Y1247" s="1"/>
      <c r="Z1247" s="1"/>
      <c r="AA1247" s="1"/>
      <c r="AB1247" s="1"/>
    </row>
  </sheetData>
  <mergeCells count="35">
    <mergeCell ref="C21:C27"/>
    <mergeCell ref="J5:J12"/>
    <mergeCell ref="J40:J43"/>
    <mergeCell ref="C29:C35"/>
    <mergeCell ref="C37:C43"/>
    <mergeCell ref="J14:J22"/>
    <mergeCell ref="J24:J30"/>
    <mergeCell ref="J32:J38"/>
    <mergeCell ref="C17:E17"/>
    <mergeCell ref="C19:E19"/>
    <mergeCell ref="C18:E18"/>
    <mergeCell ref="C16:E16"/>
    <mergeCell ref="Q5:R5"/>
    <mergeCell ref="C5:D6"/>
    <mergeCell ref="C8:C14"/>
    <mergeCell ref="C3:H3"/>
    <mergeCell ref="J3:O3"/>
    <mergeCell ref="Q3:T3"/>
    <mergeCell ref="V3:AA3"/>
    <mergeCell ref="Z13:AA13"/>
    <mergeCell ref="Z23:AA23"/>
    <mergeCell ref="Z24:AA24"/>
    <mergeCell ref="Z25:AA25"/>
    <mergeCell ref="Z28:AA28"/>
    <mergeCell ref="Z14:AA14"/>
    <mergeCell ref="Z15:AA15"/>
    <mergeCell ref="Z18:AA18"/>
    <mergeCell ref="Z19:AA19"/>
    <mergeCell ref="Z20:AA20"/>
    <mergeCell ref="W39:X39"/>
    <mergeCell ref="Z29:AA29"/>
    <mergeCell ref="Z30:AA30"/>
    <mergeCell ref="Z33:AA33"/>
    <mergeCell ref="Z34:AA34"/>
    <mergeCell ref="Z35:AA35"/>
  </mergeCells>
  <dataValidations count="3">
    <dataValidation type="list" allowBlank="1" showInputMessage="1" showErrorMessage="1" sqref="F16" xr:uid="{C5BA3E4D-FB27-488A-AAF3-57BCB4B66FAA}">
      <formula1>"Caraíba Geomet , Fixed"</formula1>
    </dataValidation>
    <dataValidation type="list" allowBlank="1" showInputMessage="1" showErrorMessage="1" sqref="S5" xr:uid="{064EE89B-4D48-42FF-A909-50D1092EA0D4}">
      <formula1>"Open Pit, Underground"</formula1>
    </dataValidation>
    <dataValidation type="list" allowBlank="1" showInputMessage="1" showErrorMessage="1" sqref="F17:F18" xr:uid="{0EC25CEA-59BC-4AD9-B12C-B12BDB44E6B5}">
      <formula1>"Downside,Base Case,Upside"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C62493D-2B99-4B45-BF27-99E77641B026}">
          <x14:formula1>
            <xm:f>'Price and Costs'!$E$10:$E$14</xm:f>
          </x14:formula1>
          <xm:sqref>F19</xm:sqref>
        </x14:dataValidation>
        <x14:dataValidation type="list" allowBlank="1" showInputMessage="1" showErrorMessage="1" xr:uid="{FA146EE9-018E-462E-97B1-E8C59BB3A5A1}">
          <x14:formula1>
            <xm:f>Data!$C$2:$I$2</xm:f>
          </x14:formula1>
          <xm:sqref>E6</xm:sqref>
        </x14:dataValidation>
        <x14:dataValidation type="list" allowBlank="1" showInputMessage="1" showErrorMessage="1" xr:uid="{EBEF9EB9-C100-4D33-9591-B94B950318A9}">
          <x14:formula1>
            <xm:f>Data!$B$17:$B$28</xm:f>
          </x14:formula1>
          <xm:sqref>F6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F9F62-45EE-402D-8E09-CA162B8EEADD}">
  <sheetPr>
    <tabColor rgb="FF002060"/>
  </sheetPr>
  <dimension ref="A1"/>
  <sheetViews>
    <sheetView showGridLines="0" workbookViewId="0">
      <selection activeCell="P26" sqref="P26"/>
    </sheetView>
  </sheetViews>
  <sheetFormatPr defaultColWidth="10.58203125" defaultRowHeight="15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EBB41-06FB-459B-AFA3-801FE458530D}">
  <sheetPr>
    <tabColor theme="0" tint="-0.499984740745262"/>
  </sheetPr>
  <dimension ref="A1:CY574"/>
  <sheetViews>
    <sheetView topLeftCell="A10" zoomScale="80" zoomScaleNormal="80" workbookViewId="0">
      <selection activeCell="G27" sqref="G27"/>
    </sheetView>
  </sheetViews>
  <sheetFormatPr defaultColWidth="10.83203125" defaultRowHeight="15.5" x14ac:dyDescent="0.35"/>
  <cols>
    <col min="1" max="1" width="4.58203125" style="42" customWidth="1"/>
    <col min="2" max="2" width="4.58203125" style="14" customWidth="1"/>
    <col min="3" max="3" width="10.83203125" style="14"/>
    <col min="4" max="4" width="12.9140625" style="14" customWidth="1"/>
    <col min="5" max="5" width="20.58203125" style="14" customWidth="1"/>
    <col min="6" max="14" width="14.58203125" style="14" customWidth="1"/>
    <col min="15" max="15" width="12.58203125" style="14" customWidth="1"/>
    <col min="16" max="16" width="10.83203125" style="14"/>
    <col min="17" max="103" width="10.83203125" style="42"/>
    <col min="104" max="16384" width="10.83203125" style="14"/>
  </cols>
  <sheetData>
    <row r="1" spans="2:103" s="42" customFormat="1" ht="16" thickBot="1" x14ac:dyDescent="0.4"/>
    <row r="2" spans="2:103" ht="16" thickTop="1" x14ac:dyDescent="0.35">
      <c r="B2" s="49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1"/>
    </row>
    <row r="3" spans="2:103" x14ac:dyDescent="0.35">
      <c r="B3" s="52"/>
      <c r="P3" s="37"/>
    </row>
    <row r="4" spans="2:103" ht="20.5" thickBot="1" x14ac:dyDescent="0.4">
      <c r="B4" s="52"/>
      <c r="C4" s="155" t="s">
        <v>34</v>
      </c>
      <c r="D4" s="155"/>
      <c r="E4" s="155"/>
      <c r="F4" s="155"/>
      <c r="G4" s="155"/>
      <c r="H4" s="155"/>
      <c r="I4" s="155"/>
      <c r="J4" s="155"/>
      <c r="K4" s="155"/>
      <c r="L4" s="155"/>
      <c r="M4" s="155"/>
      <c r="N4" s="155"/>
      <c r="O4" s="155"/>
      <c r="P4" s="37"/>
    </row>
    <row r="5" spans="2:103" x14ac:dyDescent="0.35">
      <c r="B5" s="52"/>
      <c r="P5" s="37"/>
    </row>
    <row r="6" spans="2:103" x14ac:dyDescent="0.35">
      <c r="B6" s="52"/>
      <c r="P6" s="37"/>
    </row>
    <row r="7" spans="2:103" ht="16" customHeight="1" x14ac:dyDescent="0.35">
      <c r="B7" s="52"/>
      <c r="C7" s="167" t="s">
        <v>35</v>
      </c>
      <c r="D7" s="85"/>
      <c r="E7" s="86"/>
      <c r="F7" s="86"/>
      <c r="G7" s="86"/>
      <c r="H7" s="86"/>
      <c r="I7" s="87"/>
      <c r="J7" s="88"/>
      <c r="K7" s="88"/>
      <c r="L7" s="88"/>
      <c r="M7" s="88"/>
      <c r="N7" s="88"/>
      <c r="O7" s="88"/>
      <c r="P7" s="37"/>
      <c r="CW7" s="14"/>
      <c r="CX7" s="14"/>
      <c r="CY7" s="14"/>
    </row>
    <row r="8" spans="2:103" x14ac:dyDescent="0.35">
      <c r="B8" s="52"/>
      <c r="C8" s="168"/>
      <c r="D8" s="89"/>
      <c r="E8" s="90"/>
      <c r="F8" s="90" t="s">
        <v>110</v>
      </c>
      <c r="G8" s="90" t="s">
        <v>109</v>
      </c>
      <c r="H8" s="90" t="s">
        <v>108</v>
      </c>
      <c r="I8" s="91"/>
      <c r="J8" s="88"/>
      <c r="K8" s="88"/>
      <c r="L8" s="88"/>
      <c r="M8" s="88"/>
      <c r="N8" s="88"/>
      <c r="O8" s="88"/>
      <c r="P8" s="37"/>
      <c r="CW8" s="14"/>
      <c r="CX8" s="14"/>
      <c r="CY8" s="14"/>
    </row>
    <row r="9" spans="2:103" x14ac:dyDescent="0.35">
      <c r="B9" s="52"/>
      <c r="C9" s="168"/>
      <c r="D9" s="89"/>
      <c r="E9" s="84"/>
      <c r="F9" s="84"/>
      <c r="G9" s="84"/>
      <c r="H9" s="84"/>
      <c r="I9" s="91"/>
      <c r="J9" s="88"/>
      <c r="K9" s="88"/>
      <c r="L9" s="88"/>
      <c r="M9" s="88"/>
      <c r="N9" s="88"/>
      <c r="O9" s="88"/>
      <c r="P9" s="37"/>
      <c r="CW9" s="14"/>
      <c r="CX9" s="14"/>
      <c r="CY9" s="14"/>
    </row>
    <row r="10" spans="2:103" x14ac:dyDescent="0.35">
      <c r="B10" s="52"/>
      <c r="C10" s="168"/>
      <c r="D10" s="89"/>
      <c r="E10" s="84" t="s">
        <v>12</v>
      </c>
      <c r="F10" s="125">
        <v>9149</v>
      </c>
      <c r="G10" s="92">
        <v>2400</v>
      </c>
      <c r="H10" s="92">
        <v>29</v>
      </c>
      <c r="I10" s="91"/>
      <c r="J10" s="88"/>
      <c r="K10" s="88"/>
      <c r="L10" s="88"/>
      <c r="M10" s="88"/>
      <c r="N10" s="88"/>
      <c r="O10" s="88"/>
      <c r="P10" s="37"/>
      <c r="CW10" s="14"/>
      <c r="CX10" s="14"/>
      <c r="CY10" s="14"/>
    </row>
    <row r="11" spans="2:103" x14ac:dyDescent="0.35">
      <c r="B11" s="52"/>
      <c r="C11" s="168"/>
      <c r="D11" s="89"/>
      <c r="E11" s="84" t="s">
        <v>107</v>
      </c>
      <c r="F11" s="125">
        <v>9149</v>
      </c>
      <c r="G11" s="92">
        <v>2400</v>
      </c>
      <c r="H11" s="92">
        <v>29</v>
      </c>
      <c r="I11" s="91"/>
      <c r="J11" s="88"/>
      <c r="K11" s="88"/>
      <c r="L11" s="88"/>
      <c r="M11" s="88"/>
      <c r="N11" s="88"/>
      <c r="O11" s="88"/>
      <c r="P11" s="37"/>
      <c r="CW11" s="14"/>
      <c r="CX11" s="14"/>
      <c r="CY11" s="14"/>
    </row>
    <row r="12" spans="2:103" x14ac:dyDescent="0.35">
      <c r="B12" s="52"/>
      <c r="C12" s="168"/>
      <c r="D12" s="89"/>
      <c r="E12" s="84" t="s">
        <v>36</v>
      </c>
      <c r="F12" s="125">
        <v>9149</v>
      </c>
      <c r="G12" s="92">
        <v>2400</v>
      </c>
      <c r="H12" s="92">
        <v>29</v>
      </c>
      <c r="I12" s="91"/>
      <c r="J12" s="88"/>
      <c r="K12" s="88"/>
      <c r="L12" s="88"/>
      <c r="M12" s="88"/>
      <c r="N12" s="88"/>
      <c r="O12" s="88"/>
      <c r="P12" s="37"/>
      <c r="CW12" s="14"/>
      <c r="CX12" s="14"/>
      <c r="CY12" s="14"/>
    </row>
    <row r="13" spans="2:103" x14ac:dyDescent="0.35">
      <c r="B13" s="52"/>
      <c r="C13" s="168"/>
      <c r="D13" s="89"/>
      <c r="E13" s="84" t="s">
        <v>37</v>
      </c>
      <c r="F13" s="125">
        <v>9149</v>
      </c>
      <c r="G13" s="92">
        <v>2400</v>
      </c>
      <c r="H13" s="92">
        <v>29</v>
      </c>
      <c r="I13" s="91"/>
      <c r="J13" s="88"/>
      <c r="K13" s="88"/>
      <c r="L13" s="88"/>
      <c r="M13" s="88"/>
      <c r="N13" s="88"/>
      <c r="O13" s="88"/>
      <c r="P13" s="37"/>
      <c r="CW13" s="14"/>
      <c r="CX13" s="14"/>
      <c r="CY13" s="14"/>
    </row>
    <row r="14" spans="2:103" x14ac:dyDescent="0.35">
      <c r="B14" s="52"/>
      <c r="C14" s="168"/>
      <c r="D14" s="89"/>
      <c r="E14" s="84" t="s">
        <v>38</v>
      </c>
      <c r="F14" s="125">
        <v>9149</v>
      </c>
      <c r="G14" s="92">
        <v>2400</v>
      </c>
      <c r="H14" s="92">
        <v>29</v>
      </c>
      <c r="I14" s="91"/>
      <c r="J14" s="88"/>
      <c r="K14" s="88"/>
      <c r="L14" s="88"/>
      <c r="M14" s="88"/>
      <c r="N14" s="88"/>
      <c r="O14" s="88"/>
      <c r="P14" s="37"/>
      <c r="CW14" s="14"/>
      <c r="CX14" s="14"/>
      <c r="CY14" s="14"/>
    </row>
    <row r="15" spans="2:103" x14ac:dyDescent="0.35">
      <c r="B15" s="52"/>
      <c r="C15" s="169"/>
      <c r="D15" s="93"/>
      <c r="E15" s="90"/>
      <c r="F15" s="90"/>
      <c r="G15" s="90"/>
      <c r="H15" s="90"/>
      <c r="I15" s="94"/>
      <c r="J15" s="88"/>
      <c r="K15" s="88"/>
      <c r="L15" s="88"/>
      <c r="M15" s="88"/>
      <c r="N15" s="88"/>
      <c r="O15" s="88"/>
      <c r="P15" s="37"/>
      <c r="CW15" s="14"/>
      <c r="CX15" s="14"/>
      <c r="CY15" s="14"/>
    </row>
    <row r="16" spans="2:103" x14ac:dyDescent="0.35">
      <c r="B16" s="52"/>
      <c r="C16" s="83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37"/>
      <c r="CW16" s="14"/>
      <c r="CX16" s="14"/>
      <c r="CY16" s="14"/>
    </row>
    <row r="17" spans="2:103" x14ac:dyDescent="0.35">
      <c r="B17" s="52"/>
      <c r="C17" s="83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37"/>
      <c r="CW17" s="14"/>
      <c r="CX17" s="14"/>
      <c r="CY17" s="14"/>
    </row>
    <row r="18" spans="2:103" ht="26.15" customHeight="1" x14ac:dyDescent="0.35">
      <c r="B18" s="52"/>
      <c r="C18" s="167" t="s">
        <v>39</v>
      </c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7"/>
      <c r="O18" s="88"/>
      <c r="P18" s="37"/>
    </row>
    <row r="19" spans="2:103" x14ac:dyDescent="0.35">
      <c r="B19" s="52"/>
      <c r="C19" s="168"/>
      <c r="D19" s="84"/>
      <c r="E19" s="90" t="s">
        <v>5</v>
      </c>
      <c r="F19" s="90" t="s">
        <v>40</v>
      </c>
      <c r="G19" s="90" t="s">
        <v>41</v>
      </c>
      <c r="H19" s="90" t="s">
        <v>54</v>
      </c>
      <c r="I19" s="90" t="s">
        <v>55</v>
      </c>
      <c r="J19" s="90" t="s">
        <v>113</v>
      </c>
      <c r="K19" s="90" t="s">
        <v>42</v>
      </c>
      <c r="L19" s="95" t="s">
        <v>112</v>
      </c>
      <c r="M19" s="95" t="s">
        <v>58</v>
      </c>
      <c r="N19" s="91"/>
      <c r="O19" s="88"/>
      <c r="P19" s="37"/>
    </row>
    <row r="20" spans="2:103" x14ac:dyDescent="0.35">
      <c r="B20" s="52"/>
      <c r="C20" s="168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91"/>
      <c r="O20" s="88"/>
      <c r="P20" s="37"/>
      <c r="R20" s="131">
        <v>3.3500000000000002E-2</v>
      </c>
      <c r="S20" s="131">
        <v>0.96650000000000003</v>
      </c>
      <c r="T20" s="96">
        <v>40</v>
      </c>
      <c r="U20" s="96">
        <v>1.9</v>
      </c>
      <c r="V20" s="107">
        <v>84</v>
      </c>
      <c r="W20" s="96"/>
      <c r="X20" s="96"/>
      <c r="Y20" s="96"/>
    </row>
    <row r="21" spans="2:103" x14ac:dyDescent="0.35">
      <c r="B21" s="52"/>
      <c r="C21" s="168"/>
      <c r="D21" s="84"/>
      <c r="E21" s="100" t="s">
        <v>50</v>
      </c>
      <c r="F21" s="131">
        <v>3.3500000000000002E-2</v>
      </c>
      <c r="G21" s="131">
        <v>0.96650000000000003</v>
      </c>
      <c r="H21" s="96">
        <v>40</v>
      </c>
      <c r="I21" s="96">
        <v>1.9</v>
      </c>
      <c r="J21" s="107">
        <v>84</v>
      </c>
      <c r="K21" s="96"/>
      <c r="L21" s="96"/>
      <c r="M21" s="96"/>
      <c r="N21" s="91"/>
      <c r="O21" s="88"/>
      <c r="P21" s="37"/>
      <c r="R21" s="131"/>
      <c r="S21" s="101">
        <v>0.9</v>
      </c>
      <c r="T21" s="96"/>
      <c r="U21" s="96">
        <v>4</v>
      </c>
      <c r="V21" s="96"/>
      <c r="W21" s="96"/>
      <c r="X21" s="96"/>
      <c r="Y21" s="96"/>
    </row>
    <row r="22" spans="2:103" x14ac:dyDescent="0.35">
      <c r="B22" s="52"/>
      <c r="C22" s="168"/>
      <c r="D22" s="84"/>
      <c r="E22" s="100" t="s">
        <v>53</v>
      </c>
      <c r="F22" s="131"/>
      <c r="G22" s="101">
        <v>0.9</v>
      </c>
      <c r="H22" s="96"/>
      <c r="I22" s="96">
        <v>4</v>
      </c>
      <c r="J22" s="96"/>
      <c r="K22" s="96"/>
      <c r="L22" s="96"/>
      <c r="M22" s="96"/>
      <c r="N22" s="91"/>
      <c r="O22" s="88"/>
      <c r="P22" s="37"/>
      <c r="R22" s="131"/>
      <c r="S22" s="101">
        <v>0.9</v>
      </c>
      <c r="T22" s="96"/>
      <c r="U22" s="96">
        <v>0.35</v>
      </c>
      <c r="V22" s="96"/>
      <c r="W22" s="96"/>
      <c r="X22" s="96"/>
      <c r="Y22" s="96"/>
    </row>
    <row r="23" spans="2:103" x14ac:dyDescent="0.35">
      <c r="B23" s="52"/>
      <c r="C23" s="168"/>
      <c r="D23" s="84"/>
      <c r="E23" s="100" t="s">
        <v>98</v>
      </c>
      <c r="F23" s="131"/>
      <c r="G23" s="101">
        <v>0.9</v>
      </c>
      <c r="H23" s="96"/>
      <c r="I23" s="96">
        <v>0.35</v>
      </c>
      <c r="J23" s="96"/>
      <c r="K23" s="96"/>
      <c r="L23" s="96"/>
      <c r="M23" s="96"/>
      <c r="N23" s="91"/>
      <c r="O23" s="88"/>
      <c r="P23" s="37"/>
    </row>
    <row r="24" spans="2:103" x14ac:dyDescent="0.35">
      <c r="B24" s="52"/>
      <c r="C24" s="169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4"/>
      <c r="O24" s="88"/>
      <c r="P24" s="37"/>
    </row>
    <row r="25" spans="2:103" x14ac:dyDescent="0.35">
      <c r="B25" s="52"/>
      <c r="C25" s="83"/>
      <c r="D25" s="88"/>
      <c r="E25" s="88"/>
      <c r="F25" s="88"/>
      <c r="G25" s="146"/>
      <c r="H25" s="88"/>
      <c r="I25" s="88"/>
      <c r="J25" s="88"/>
      <c r="K25" s="88"/>
      <c r="L25" s="88"/>
      <c r="M25" s="88"/>
      <c r="N25" s="88"/>
      <c r="O25" s="88"/>
      <c r="P25" s="37"/>
      <c r="CW25" s="14"/>
      <c r="CX25" s="14"/>
      <c r="CY25" s="14"/>
    </row>
    <row r="26" spans="2:103" x14ac:dyDescent="0.35">
      <c r="B26" s="52"/>
      <c r="D26" s="88"/>
      <c r="E26" s="88"/>
      <c r="F26" s="88"/>
      <c r="G26" s="88"/>
      <c r="H26" s="88"/>
      <c r="I26" s="117"/>
      <c r="J26" s="88"/>
      <c r="K26" s="88"/>
      <c r="L26" s="88"/>
      <c r="M26" s="88"/>
      <c r="N26" s="88"/>
      <c r="O26" s="88"/>
      <c r="P26" s="37"/>
    </row>
    <row r="27" spans="2:103" x14ac:dyDescent="0.35">
      <c r="B27" s="52"/>
      <c r="C27" s="163" t="s">
        <v>33</v>
      </c>
      <c r="D27" s="86"/>
      <c r="E27" s="108"/>
      <c r="F27" s="108" t="s">
        <v>7</v>
      </c>
      <c r="G27" s="108" t="s">
        <v>6</v>
      </c>
      <c r="H27" s="87"/>
      <c r="I27" s="88"/>
      <c r="J27" s="88"/>
      <c r="K27" s="88"/>
      <c r="L27" s="88"/>
      <c r="M27" s="88"/>
      <c r="N27" s="88"/>
      <c r="O27" s="88"/>
      <c r="P27" s="37"/>
    </row>
    <row r="28" spans="2:103" x14ac:dyDescent="0.35">
      <c r="B28" s="52"/>
      <c r="C28" s="164"/>
      <c r="D28" s="84"/>
      <c r="E28" s="84"/>
      <c r="F28" s="84"/>
      <c r="G28" s="84"/>
      <c r="H28" s="91"/>
      <c r="I28" s="88"/>
      <c r="J28" s="88"/>
      <c r="K28" s="88"/>
      <c r="L28" s="88"/>
      <c r="M28" s="88"/>
      <c r="N28" s="88"/>
      <c r="O28" s="88"/>
      <c r="P28" s="37"/>
    </row>
    <row r="29" spans="2:103" x14ac:dyDescent="0.35">
      <c r="B29" s="52"/>
      <c r="C29" s="164"/>
      <c r="D29" s="84"/>
      <c r="E29" s="84" t="s">
        <v>61</v>
      </c>
      <c r="F29" s="84" t="s">
        <v>11</v>
      </c>
      <c r="G29" s="130">
        <v>2</v>
      </c>
      <c r="H29" s="91"/>
      <c r="I29" s="88"/>
      <c r="J29" s="88"/>
      <c r="K29" s="88"/>
      <c r="L29" s="88"/>
      <c r="M29" s="88"/>
      <c r="N29" s="88"/>
      <c r="O29" s="88"/>
      <c r="P29" s="37"/>
    </row>
    <row r="30" spans="2:103" x14ac:dyDescent="0.35">
      <c r="B30" s="52"/>
      <c r="C30" s="164"/>
      <c r="D30" s="84"/>
      <c r="E30" s="84" t="s">
        <v>62</v>
      </c>
      <c r="F30" s="84" t="s">
        <v>11</v>
      </c>
      <c r="G30" s="130">
        <v>0</v>
      </c>
      <c r="H30" s="91"/>
      <c r="I30" s="88"/>
      <c r="J30" s="88"/>
      <c r="K30" s="88"/>
      <c r="L30" s="88"/>
      <c r="M30" s="88"/>
      <c r="N30" s="88"/>
      <c r="O30" s="88"/>
      <c r="P30" s="37"/>
    </row>
    <row r="31" spans="2:103" x14ac:dyDescent="0.35">
      <c r="B31" s="52"/>
      <c r="C31" s="165"/>
      <c r="D31" s="90"/>
      <c r="E31" s="90"/>
      <c r="F31" s="90"/>
      <c r="G31" s="90"/>
      <c r="H31" s="94"/>
      <c r="I31" s="88"/>
      <c r="J31" s="88"/>
      <c r="K31" s="88"/>
      <c r="L31" s="88"/>
      <c r="M31" s="88"/>
      <c r="N31" s="88"/>
      <c r="O31" s="88"/>
      <c r="P31" s="37"/>
    </row>
    <row r="32" spans="2:103" x14ac:dyDescent="0.35">
      <c r="B32" s="52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37"/>
    </row>
    <row r="33" spans="2:16" ht="16" thickBot="1" x14ac:dyDescent="0.4">
      <c r="B33" s="53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5"/>
    </row>
    <row r="34" spans="2:16" s="42" customFormat="1" ht="16" thickTop="1" x14ac:dyDescent="0.35"/>
    <row r="35" spans="2:16" s="42" customFormat="1" x14ac:dyDescent="0.35"/>
    <row r="36" spans="2:16" s="42" customFormat="1" x14ac:dyDescent="0.35"/>
    <row r="37" spans="2:16" s="42" customFormat="1" x14ac:dyDescent="0.35"/>
    <row r="38" spans="2:16" s="42" customFormat="1" x14ac:dyDescent="0.35"/>
    <row r="39" spans="2:16" s="42" customFormat="1" x14ac:dyDescent="0.35"/>
    <row r="40" spans="2:16" s="42" customFormat="1" x14ac:dyDescent="0.35"/>
    <row r="41" spans="2:16" s="42" customFormat="1" x14ac:dyDescent="0.35"/>
    <row r="42" spans="2:16" s="42" customFormat="1" x14ac:dyDescent="0.35"/>
    <row r="43" spans="2:16" s="42" customFormat="1" x14ac:dyDescent="0.35"/>
    <row r="44" spans="2:16" s="42" customFormat="1" x14ac:dyDescent="0.35"/>
    <row r="45" spans="2:16" s="42" customFormat="1" x14ac:dyDescent="0.35"/>
    <row r="46" spans="2:16" s="42" customFormat="1" x14ac:dyDescent="0.35"/>
    <row r="47" spans="2:16" s="42" customFormat="1" x14ac:dyDescent="0.35"/>
    <row r="48" spans="2:16" s="42" customFormat="1" x14ac:dyDescent="0.35"/>
    <row r="49" s="42" customFormat="1" x14ac:dyDescent="0.35"/>
    <row r="50" s="42" customFormat="1" x14ac:dyDescent="0.35"/>
    <row r="51" s="42" customFormat="1" x14ac:dyDescent="0.35"/>
    <row r="52" s="42" customFormat="1" x14ac:dyDescent="0.35"/>
    <row r="53" s="42" customFormat="1" x14ac:dyDescent="0.35"/>
    <row r="54" s="42" customFormat="1" x14ac:dyDescent="0.35"/>
    <row r="55" s="42" customFormat="1" x14ac:dyDescent="0.35"/>
    <row r="56" s="42" customFormat="1" x14ac:dyDescent="0.35"/>
    <row r="57" s="42" customFormat="1" x14ac:dyDescent="0.35"/>
    <row r="58" s="42" customFormat="1" x14ac:dyDescent="0.35"/>
    <row r="59" s="42" customFormat="1" x14ac:dyDescent="0.35"/>
    <row r="60" s="42" customFormat="1" x14ac:dyDescent="0.35"/>
    <row r="61" s="42" customFormat="1" x14ac:dyDescent="0.35"/>
    <row r="62" s="42" customFormat="1" x14ac:dyDescent="0.35"/>
    <row r="63" s="42" customFormat="1" x14ac:dyDescent="0.35"/>
    <row r="64" s="42" customFormat="1" x14ac:dyDescent="0.35"/>
    <row r="65" s="42" customFormat="1" x14ac:dyDescent="0.35"/>
    <row r="66" s="42" customFormat="1" x14ac:dyDescent="0.35"/>
    <row r="67" s="42" customFormat="1" x14ac:dyDescent="0.35"/>
    <row r="68" s="42" customFormat="1" x14ac:dyDescent="0.35"/>
    <row r="69" s="42" customFormat="1" x14ac:dyDescent="0.35"/>
    <row r="70" s="42" customFormat="1" x14ac:dyDescent="0.35"/>
    <row r="71" s="42" customFormat="1" x14ac:dyDescent="0.35"/>
    <row r="72" s="42" customFormat="1" x14ac:dyDescent="0.35"/>
    <row r="73" s="42" customFormat="1" x14ac:dyDescent="0.35"/>
    <row r="74" s="42" customFormat="1" x14ac:dyDescent="0.35"/>
    <row r="75" s="42" customFormat="1" x14ac:dyDescent="0.35"/>
    <row r="76" s="42" customFormat="1" x14ac:dyDescent="0.35"/>
    <row r="77" s="42" customFormat="1" x14ac:dyDescent="0.35"/>
    <row r="78" s="42" customFormat="1" x14ac:dyDescent="0.35"/>
    <row r="79" s="42" customFormat="1" x14ac:dyDescent="0.35"/>
    <row r="80" s="42" customFormat="1" x14ac:dyDescent="0.35"/>
    <row r="81" s="42" customFormat="1" x14ac:dyDescent="0.35"/>
    <row r="82" s="42" customFormat="1" x14ac:dyDescent="0.35"/>
    <row r="83" s="42" customFormat="1" x14ac:dyDescent="0.35"/>
    <row r="84" s="42" customFormat="1" x14ac:dyDescent="0.35"/>
    <row r="85" s="42" customFormat="1" x14ac:dyDescent="0.35"/>
    <row r="86" s="42" customFormat="1" x14ac:dyDescent="0.35"/>
    <row r="87" s="42" customFormat="1" x14ac:dyDescent="0.35"/>
    <row r="88" s="42" customFormat="1" x14ac:dyDescent="0.35"/>
    <row r="89" s="42" customFormat="1" x14ac:dyDescent="0.35"/>
    <row r="90" s="42" customFormat="1" x14ac:dyDescent="0.35"/>
    <row r="91" s="42" customFormat="1" x14ac:dyDescent="0.35"/>
    <row r="92" s="42" customFormat="1" x14ac:dyDescent="0.35"/>
    <row r="93" s="42" customFormat="1" x14ac:dyDescent="0.35"/>
    <row r="94" s="42" customFormat="1" x14ac:dyDescent="0.35"/>
    <row r="95" s="42" customFormat="1" x14ac:dyDescent="0.35"/>
    <row r="96" s="42" customFormat="1" x14ac:dyDescent="0.35"/>
    <row r="97" s="42" customFormat="1" x14ac:dyDescent="0.35"/>
    <row r="98" s="42" customFormat="1" x14ac:dyDescent="0.35"/>
    <row r="99" s="42" customFormat="1" x14ac:dyDescent="0.35"/>
    <row r="100" s="42" customFormat="1" x14ac:dyDescent="0.35"/>
    <row r="101" s="42" customFormat="1" x14ac:dyDescent="0.35"/>
    <row r="102" s="42" customFormat="1" x14ac:dyDescent="0.35"/>
    <row r="103" s="42" customFormat="1" x14ac:dyDescent="0.35"/>
    <row r="104" s="42" customFormat="1" x14ac:dyDescent="0.35"/>
    <row r="105" s="42" customFormat="1" x14ac:dyDescent="0.35"/>
    <row r="106" s="42" customFormat="1" x14ac:dyDescent="0.35"/>
    <row r="107" s="42" customFormat="1" x14ac:dyDescent="0.35"/>
    <row r="108" s="42" customFormat="1" x14ac:dyDescent="0.35"/>
    <row r="109" s="42" customFormat="1" x14ac:dyDescent="0.35"/>
    <row r="110" s="42" customFormat="1" x14ac:dyDescent="0.35"/>
    <row r="111" s="42" customFormat="1" x14ac:dyDescent="0.35"/>
    <row r="112" s="42" customFormat="1" x14ac:dyDescent="0.35"/>
    <row r="113" s="42" customFormat="1" x14ac:dyDescent="0.35"/>
    <row r="114" s="42" customFormat="1" x14ac:dyDescent="0.35"/>
    <row r="115" s="42" customFormat="1" x14ac:dyDescent="0.35"/>
    <row r="116" s="42" customFormat="1" x14ac:dyDescent="0.35"/>
    <row r="117" s="42" customFormat="1" x14ac:dyDescent="0.35"/>
    <row r="118" s="42" customFormat="1" x14ac:dyDescent="0.35"/>
    <row r="119" s="42" customFormat="1" x14ac:dyDescent="0.35"/>
    <row r="120" s="42" customFormat="1" x14ac:dyDescent="0.35"/>
    <row r="121" s="42" customFormat="1" x14ac:dyDescent="0.35"/>
    <row r="122" s="42" customFormat="1" x14ac:dyDescent="0.35"/>
    <row r="123" s="42" customFormat="1" x14ac:dyDescent="0.35"/>
    <row r="124" s="42" customFormat="1" x14ac:dyDescent="0.35"/>
    <row r="125" s="42" customFormat="1" x14ac:dyDescent="0.35"/>
    <row r="126" s="42" customFormat="1" x14ac:dyDescent="0.35"/>
    <row r="127" s="42" customFormat="1" x14ac:dyDescent="0.35"/>
    <row r="128" s="42" customFormat="1" x14ac:dyDescent="0.35"/>
    <row r="129" s="42" customFormat="1" x14ac:dyDescent="0.35"/>
    <row r="130" s="42" customFormat="1" x14ac:dyDescent="0.35"/>
    <row r="131" s="42" customFormat="1" x14ac:dyDescent="0.35"/>
    <row r="132" s="42" customFormat="1" x14ac:dyDescent="0.35"/>
    <row r="133" s="42" customFormat="1" x14ac:dyDescent="0.35"/>
    <row r="134" s="42" customFormat="1" x14ac:dyDescent="0.35"/>
    <row r="135" s="42" customFormat="1" x14ac:dyDescent="0.35"/>
    <row r="136" s="42" customFormat="1" x14ac:dyDescent="0.35"/>
    <row r="137" s="42" customFormat="1" x14ac:dyDescent="0.35"/>
    <row r="138" s="42" customFormat="1" x14ac:dyDescent="0.35"/>
    <row r="139" s="42" customFormat="1" x14ac:dyDescent="0.35"/>
    <row r="140" s="42" customFormat="1" x14ac:dyDescent="0.35"/>
    <row r="141" s="42" customFormat="1" x14ac:dyDescent="0.35"/>
    <row r="142" s="42" customFormat="1" x14ac:dyDescent="0.35"/>
    <row r="143" s="42" customFormat="1" x14ac:dyDescent="0.35"/>
    <row r="144" s="42" customFormat="1" x14ac:dyDescent="0.35"/>
    <row r="145" s="42" customFormat="1" x14ac:dyDescent="0.35"/>
    <row r="146" s="42" customFormat="1" x14ac:dyDescent="0.35"/>
    <row r="147" s="42" customFormat="1" x14ac:dyDescent="0.35"/>
    <row r="148" s="42" customFormat="1" x14ac:dyDescent="0.35"/>
    <row r="149" s="42" customFormat="1" x14ac:dyDescent="0.35"/>
    <row r="150" s="42" customFormat="1" x14ac:dyDescent="0.35"/>
    <row r="151" s="42" customFormat="1" x14ac:dyDescent="0.35"/>
    <row r="152" s="42" customFormat="1" x14ac:dyDescent="0.35"/>
    <row r="153" s="42" customFormat="1" x14ac:dyDescent="0.35"/>
    <row r="154" s="42" customFormat="1" x14ac:dyDescent="0.35"/>
    <row r="155" s="42" customFormat="1" x14ac:dyDescent="0.35"/>
    <row r="156" s="42" customFormat="1" x14ac:dyDescent="0.35"/>
    <row r="157" s="42" customFormat="1" x14ac:dyDescent="0.35"/>
    <row r="158" s="42" customFormat="1" x14ac:dyDescent="0.35"/>
    <row r="159" s="42" customFormat="1" x14ac:dyDescent="0.35"/>
    <row r="160" s="42" customFormat="1" x14ac:dyDescent="0.35"/>
    <row r="161" s="42" customFormat="1" x14ac:dyDescent="0.35"/>
    <row r="162" s="42" customFormat="1" x14ac:dyDescent="0.35"/>
    <row r="163" s="42" customFormat="1" x14ac:dyDescent="0.35"/>
    <row r="164" s="42" customFormat="1" x14ac:dyDescent="0.35"/>
    <row r="165" s="42" customFormat="1" x14ac:dyDescent="0.35"/>
    <row r="166" s="42" customFormat="1" x14ac:dyDescent="0.35"/>
    <row r="167" s="42" customFormat="1" x14ac:dyDescent="0.35"/>
    <row r="168" s="42" customFormat="1" x14ac:dyDescent="0.35"/>
    <row r="169" s="42" customFormat="1" x14ac:dyDescent="0.35"/>
    <row r="170" s="42" customFormat="1" x14ac:dyDescent="0.35"/>
    <row r="171" s="42" customFormat="1" x14ac:dyDescent="0.35"/>
    <row r="172" s="42" customFormat="1" x14ac:dyDescent="0.35"/>
    <row r="173" s="42" customFormat="1" x14ac:dyDescent="0.35"/>
    <row r="174" s="42" customFormat="1" x14ac:dyDescent="0.35"/>
    <row r="175" s="42" customFormat="1" x14ac:dyDescent="0.35"/>
    <row r="176" s="42" customFormat="1" x14ac:dyDescent="0.35"/>
    <row r="177" s="42" customFormat="1" x14ac:dyDescent="0.35"/>
    <row r="178" s="42" customFormat="1" x14ac:dyDescent="0.35"/>
    <row r="179" s="42" customFormat="1" x14ac:dyDescent="0.35"/>
    <row r="180" s="42" customFormat="1" x14ac:dyDescent="0.35"/>
    <row r="181" s="42" customFormat="1" x14ac:dyDescent="0.35"/>
    <row r="182" s="42" customFormat="1" x14ac:dyDescent="0.35"/>
    <row r="183" s="42" customFormat="1" x14ac:dyDescent="0.35"/>
    <row r="184" s="42" customFormat="1" x14ac:dyDescent="0.35"/>
    <row r="185" s="42" customFormat="1" x14ac:dyDescent="0.35"/>
    <row r="186" s="42" customFormat="1" x14ac:dyDescent="0.35"/>
    <row r="187" s="42" customFormat="1" x14ac:dyDescent="0.35"/>
    <row r="188" s="42" customFormat="1" x14ac:dyDescent="0.35"/>
    <row r="189" s="42" customFormat="1" x14ac:dyDescent="0.35"/>
    <row r="190" s="42" customFormat="1" x14ac:dyDescent="0.35"/>
    <row r="191" s="42" customFormat="1" x14ac:dyDescent="0.35"/>
    <row r="192" s="42" customFormat="1" x14ac:dyDescent="0.35"/>
    <row r="193" s="42" customFormat="1" x14ac:dyDescent="0.35"/>
    <row r="194" s="42" customFormat="1" x14ac:dyDescent="0.35"/>
    <row r="195" s="42" customFormat="1" x14ac:dyDescent="0.35"/>
    <row r="196" s="42" customFormat="1" x14ac:dyDescent="0.35"/>
    <row r="197" s="42" customFormat="1" x14ac:dyDescent="0.35"/>
    <row r="198" s="42" customFormat="1" x14ac:dyDescent="0.35"/>
    <row r="199" s="42" customFormat="1" x14ac:dyDescent="0.35"/>
    <row r="200" s="42" customFormat="1" x14ac:dyDescent="0.35"/>
    <row r="201" s="42" customFormat="1" x14ac:dyDescent="0.35"/>
    <row r="202" s="42" customFormat="1" x14ac:dyDescent="0.35"/>
    <row r="203" s="42" customFormat="1" x14ac:dyDescent="0.35"/>
    <row r="204" s="42" customFormat="1" x14ac:dyDescent="0.35"/>
    <row r="205" s="42" customFormat="1" x14ac:dyDescent="0.35"/>
    <row r="206" s="42" customFormat="1" x14ac:dyDescent="0.35"/>
    <row r="207" s="42" customFormat="1" x14ac:dyDescent="0.35"/>
    <row r="208" s="42" customFormat="1" x14ac:dyDescent="0.35"/>
    <row r="209" s="42" customFormat="1" x14ac:dyDescent="0.35"/>
    <row r="210" s="42" customFormat="1" x14ac:dyDescent="0.35"/>
    <row r="211" s="42" customFormat="1" x14ac:dyDescent="0.35"/>
    <row r="212" s="42" customFormat="1" x14ac:dyDescent="0.35"/>
    <row r="213" s="42" customFormat="1" x14ac:dyDescent="0.35"/>
    <row r="214" s="42" customFormat="1" x14ac:dyDescent="0.35"/>
    <row r="215" s="42" customFormat="1" x14ac:dyDescent="0.35"/>
    <row r="216" s="42" customFormat="1" x14ac:dyDescent="0.35"/>
    <row r="217" s="42" customFormat="1" x14ac:dyDescent="0.35"/>
    <row r="218" s="42" customFormat="1" x14ac:dyDescent="0.35"/>
    <row r="219" s="42" customFormat="1" x14ac:dyDescent="0.35"/>
    <row r="220" s="42" customFormat="1" x14ac:dyDescent="0.35"/>
    <row r="221" s="42" customFormat="1" x14ac:dyDescent="0.35"/>
    <row r="222" s="42" customFormat="1" x14ac:dyDescent="0.35"/>
    <row r="223" s="42" customFormat="1" x14ac:dyDescent="0.35"/>
    <row r="224" s="42" customFormat="1" x14ac:dyDescent="0.35"/>
    <row r="225" s="42" customFormat="1" x14ac:dyDescent="0.35"/>
    <row r="226" s="42" customFormat="1" x14ac:dyDescent="0.35"/>
    <row r="227" s="42" customFormat="1" x14ac:dyDescent="0.35"/>
    <row r="228" s="42" customFormat="1" x14ac:dyDescent="0.35"/>
    <row r="229" s="42" customFormat="1" x14ac:dyDescent="0.35"/>
    <row r="230" s="42" customFormat="1" x14ac:dyDescent="0.35"/>
    <row r="231" s="42" customFormat="1" x14ac:dyDescent="0.35"/>
    <row r="232" s="42" customFormat="1" x14ac:dyDescent="0.35"/>
    <row r="233" s="42" customFormat="1" x14ac:dyDescent="0.35"/>
    <row r="234" s="42" customFormat="1" x14ac:dyDescent="0.35"/>
    <row r="235" s="42" customFormat="1" x14ac:dyDescent="0.35"/>
    <row r="236" s="42" customFormat="1" x14ac:dyDescent="0.35"/>
    <row r="237" s="42" customFormat="1" x14ac:dyDescent="0.35"/>
    <row r="238" s="42" customFormat="1" x14ac:dyDescent="0.35"/>
    <row r="239" s="42" customFormat="1" x14ac:dyDescent="0.35"/>
    <row r="240" s="42" customFormat="1" x14ac:dyDescent="0.35"/>
    <row r="241" s="42" customFormat="1" x14ac:dyDescent="0.35"/>
    <row r="242" s="42" customFormat="1" x14ac:dyDescent="0.35"/>
    <row r="243" s="42" customFormat="1" x14ac:dyDescent="0.35"/>
    <row r="244" s="42" customFormat="1" x14ac:dyDescent="0.35"/>
    <row r="245" s="42" customFormat="1" x14ac:dyDescent="0.35"/>
    <row r="246" s="42" customFormat="1" x14ac:dyDescent="0.35"/>
    <row r="247" s="42" customFormat="1" x14ac:dyDescent="0.35"/>
    <row r="248" s="42" customFormat="1" x14ac:dyDescent="0.35"/>
    <row r="249" s="42" customFormat="1" x14ac:dyDescent="0.35"/>
    <row r="250" s="42" customFormat="1" x14ac:dyDescent="0.35"/>
    <row r="251" s="42" customFormat="1" x14ac:dyDescent="0.35"/>
    <row r="252" s="42" customFormat="1" x14ac:dyDescent="0.35"/>
    <row r="253" s="42" customFormat="1" x14ac:dyDescent="0.35"/>
    <row r="254" s="42" customFormat="1" x14ac:dyDescent="0.35"/>
    <row r="255" s="42" customFormat="1" x14ac:dyDescent="0.35"/>
    <row r="256" s="42" customFormat="1" x14ac:dyDescent="0.35"/>
    <row r="257" s="42" customFormat="1" x14ac:dyDescent="0.35"/>
    <row r="258" s="42" customFormat="1" x14ac:dyDescent="0.35"/>
    <row r="259" s="42" customFormat="1" x14ac:dyDescent="0.35"/>
    <row r="260" s="42" customFormat="1" x14ac:dyDescent="0.35"/>
    <row r="261" s="42" customFormat="1" x14ac:dyDescent="0.35"/>
    <row r="262" s="42" customFormat="1" x14ac:dyDescent="0.35"/>
    <row r="263" s="42" customFormat="1" x14ac:dyDescent="0.35"/>
    <row r="264" s="42" customFormat="1" x14ac:dyDescent="0.35"/>
    <row r="265" s="42" customFormat="1" x14ac:dyDescent="0.35"/>
    <row r="266" s="42" customFormat="1" x14ac:dyDescent="0.35"/>
    <row r="267" s="42" customFormat="1" x14ac:dyDescent="0.35"/>
    <row r="268" s="42" customFormat="1" x14ac:dyDescent="0.35"/>
    <row r="269" s="42" customFormat="1" x14ac:dyDescent="0.35"/>
    <row r="270" s="42" customFormat="1" x14ac:dyDescent="0.35"/>
    <row r="271" s="42" customFormat="1" x14ac:dyDescent="0.35"/>
    <row r="272" s="42" customFormat="1" x14ac:dyDescent="0.35"/>
    <row r="273" s="42" customFormat="1" x14ac:dyDescent="0.35"/>
    <row r="274" s="42" customFormat="1" x14ac:dyDescent="0.35"/>
    <row r="275" s="42" customFormat="1" x14ac:dyDescent="0.35"/>
    <row r="276" s="42" customFormat="1" x14ac:dyDescent="0.35"/>
    <row r="277" s="42" customFormat="1" x14ac:dyDescent="0.35"/>
    <row r="278" s="42" customFormat="1" x14ac:dyDescent="0.35"/>
    <row r="279" s="42" customFormat="1" x14ac:dyDescent="0.35"/>
    <row r="280" s="42" customFormat="1" x14ac:dyDescent="0.35"/>
    <row r="281" s="42" customFormat="1" x14ac:dyDescent="0.35"/>
    <row r="282" s="42" customFormat="1" x14ac:dyDescent="0.35"/>
    <row r="283" s="42" customFormat="1" x14ac:dyDescent="0.35"/>
    <row r="284" s="42" customFormat="1" x14ac:dyDescent="0.35"/>
    <row r="285" s="42" customFormat="1" x14ac:dyDescent="0.35"/>
    <row r="286" s="42" customFormat="1" x14ac:dyDescent="0.35"/>
    <row r="287" s="42" customFormat="1" x14ac:dyDescent="0.35"/>
    <row r="288" s="42" customFormat="1" x14ac:dyDescent="0.35"/>
    <row r="289" s="42" customFormat="1" x14ac:dyDescent="0.35"/>
    <row r="290" s="42" customFormat="1" x14ac:dyDescent="0.35"/>
    <row r="291" s="42" customFormat="1" x14ac:dyDescent="0.35"/>
    <row r="292" s="42" customFormat="1" x14ac:dyDescent="0.35"/>
    <row r="293" s="42" customFormat="1" x14ac:dyDescent="0.35"/>
    <row r="294" s="42" customFormat="1" x14ac:dyDescent="0.35"/>
    <row r="295" s="42" customFormat="1" x14ac:dyDescent="0.35"/>
    <row r="296" s="42" customFormat="1" x14ac:dyDescent="0.35"/>
    <row r="297" s="42" customFormat="1" x14ac:dyDescent="0.35"/>
    <row r="298" s="42" customFormat="1" x14ac:dyDescent="0.35"/>
    <row r="299" s="42" customFormat="1" x14ac:dyDescent="0.35"/>
    <row r="300" s="42" customFormat="1" x14ac:dyDescent="0.35"/>
    <row r="301" s="42" customFormat="1" x14ac:dyDescent="0.35"/>
    <row r="302" s="42" customFormat="1" x14ac:dyDescent="0.35"/>
    <row r="303" s="42" customFormat="1" x14ac:dyDescent="0.35"/>
    <row r="304" s="42" customFormat="1" x14ac:dyDescent="0.35"/>
    <row r="305" s="42" customFormat="1" x14ac:dyDescent="0.35"/>
    <row r="306" s="42" customFormat="1" x14ac:dyDescent="0.35"/>
    <row r="307" s="42" customFormat="1" x14ac:dyDescent="0.35"/>
    <row r="308" s="42" customFormat="1" x14ac:dyDescent="0.35"/>
    <row r="309" s="42" customFormat="1" x14ac:dyDescent="0.35"/>
    <row r="310" s="42" customFormat="1" x14ac:dyDescent="0.35"/>
    <row r="311" s="42" customFormat="1" x14ac:dyDescent="0.35"/>
    <row r="312" s="42" customFormat="1" x14ac:dyDescent="0.35"/>
    <row r="313" s="42" customFormat="1" x14ac:dyDescent="0.35"/>
    <row r="314" s="42" customFormat="1" x14ac:dyDescent="0.35"/>
    <row r="315" s="42" customFormat="1" x14ac:dyDescent="0.35"/>
    <row r="316" s="42" customFormat="1" x14ac:dyDescent="0.35"/>
    <row r="317" s="42" customFormat="1" x14ac:dyDescent="0.35"/>
    <row r="318" s="42" customFormat="1" x14ac:dyDescent="0.35"/>
    <row r="319" s="42" customFormat="1" x14ac:dyDescent="0.35"/>
    <row r="320" s="42" customFormat="1" x14ac:dyDescent="0.35"/>
    <row r="321" s="42" customFormat="1" x14ac:dyDescent="0.35"/>
    <row r="322" s="42" customFormat="1" x14ac:dyDescent="0.35"/>
    <row r="323" s="42" customFormat="1" x14ac:dyDescent="0.35"/>
    <row r="324" s="42" customFormat="1" x14ac:dyDescent="0.35"/>
    <row r="325" s="42" customFormat="1" x14ac:dyDescent="0.35"/>
    <row r="326" s="42" customFormat="1" x14ac:dyDescent="0.35"/>
    <row r="327" s="42" customFormat="1" x14ac:dyDescent="0.35"/>
    <row r="328" s="42" customFormat="1" x14ac:dyDescent="0.35"/>
    <row r="329" s="42" customFormat="1" x14ac:dyDescent="0.35"/>
    <row r="330" s="42" customFormat="1" x14ac:dyDescent="0.35"/>
    <row r="331" s="42" customFormat="1" x14ac:dyDescent="0.35"/>
    <row r="332" s="42" customFormat="1" x14ac:dyDescent="0.35"/>
    <row r="333" s="42" customFormat="1" x14ac:dyDescent="0.35"/>
    <row r="334" s="42" customFormat="1" x14ac:dyDescent="0.35"/>
    <row r="335" s="42" customFormat="1" x14ac:dyDescent="0.35"/>
    <row r="336" s="42" customFormat="1" x14ac:dyDescent="0.35"/>
    <row r="337" s="42" customFormat="1" x14ac:dyDescent="0.35"/>
    <row r="338" s="42" customFormat="1" x14ac:dyDescent="0.35"/>
    <row r="339" s="42" customFormat="1" x14ac:dyDescent="0.35"/>
    <row r="340" s="42" customFormat="1" x14ac:dyDescent="0.35"/>
    <row r="341" s="42" customFormat="1" x14ac:dyDescent="0.35"/>
    <row r="342" s="42" customFormat="1" x14ac:dyDescent="0.35"/>
    <row r="343" s="42" customFormat="1" x14ac:dyDescent="0.35"/>
    <row r="344" s="42" customFormat="1" x14ac:dyDescent="0.35"/>
    <row r="345" s="42" customFormat="1" x14ac:dyDescent="0.35"/>
    <row r="346" s="42" customFormat="1" x14ac:dyDescent="0.35"/>
    <row r="347" s="42" customFormat="1" x14ac:dyDescent="0.35"/>
    <row r="348" s="42" customFormat="1" x14ac:dyDescent="0.35"/>
    <row r="349" s="42" customFormat="1" x14ac:dyDescent="0.35"/>
    <row r="350" s="42" customFormat="1" x14ac:dyDescent="0.35"/>
    <row r="351" s="42" customFormat="1" x14ac:dyDescent="0.35"/>
    <row r="352" s="42" customFormat="1" x14ac:dyDescent="0.35"/>
    <row r="353" s="42" customFormat="1" x14ac:dyDescent="0.35"/>
    <row r="354" s="42" customFormat="1" x14ac:dyDescent="0.35"/>
    <row r="355" s="42" customFormat="1" x14ac:dyDescent="0.35"/>
    <row r="356" s="42" customFormat="1" x14ac:dyDescent="0.35"/>
    <row r="357" s="42" customFormat="1" x14ac:dyDescent="0.35"/>
    <row r="358" s="42" customFormat="1" x14ac:dyDescent="0.35"/>
    <row r="359" s="42" customFormat="1" x14ac:dyDescent="0.35"/>
    <row r="360" s="42" customFormat="1" x14ac:dyDescent="0.35"/>
    <row r="361" s="42" customFormat="1" x14ac:dyDescent="0.35"/>
    <row r="362" s="42" customFormat="1" x14ac:dyDescent="0.35"/>
    <row r="363" s="42" customFormat="1" x14ac:dyDescent="0.35"/>
    <row r="364" s="42" customFormat="1" x14ac:dyDescent="0.35"/>
    <row r="365" s="42" customFormat="1" x14ac:dyDescent="0.35"/>
    <row r="366" s="42" customFormat="1" x14ac:dyDescent="0.35"/>
    <row r="367" s="42" customFormat="1" x14ac:dyDescent="0.35"/>
    <row r="368" s="42" customFormat="1" x14ac:dyDescent="0.35"/>
    <row r="369" s="42" customFormat="1" x14ac:dyDescent="0.35"/>
    <row r="370" s="42" customFormat="1" x14ac:dyDescent="0.35"/>
    <row r="371" s="42" customFormat="1" x14ac:dyDescent="0.35"/>
    <row r="372" s="42" customFormat="1" x14ac:dyDescent="0.35"/>
    <row r="373" s="42" customFormat="1" x14ac:dyDescent="0.35"/>
    <row r="374" s="42" customFormat="1" x14ac:dyDescent="0.35"/>
    <row r="375" s="42" customFormat="1" x14ac:dyDescent="0.35"/>
    <row r="376" s="42" customFormat="1" x14ac:dyDescent="0.35"/>
    <row r="377" s="42" customFormat="1" x14ac:dyDescent="0.35"/>
    <row r="378" s="42" customFormat="1" x14ac:dyDescent="0.35"/>
    <row r="379" s="42" customFormat="1" x14ac:dyDescent="0.35"/>
    <row r="380" s="42" customFormat="1" x14ac:dyDescent="0.35"/>
    <row r="381" s="42" customFormat="1" x14ac:dyDescent="0.35"/>
    <row r="382" s="42" customFormat="1" x14ac:dyDescent="0.35"/>
    <row r="383" s="42" customFormat="1" x14ac:dyDescent="0.35"/>
    <row r="384" s="42" customFormat="1" x14ac:dyDescent="0.35"/>
    <row r="385" s="42" customFormat="1" x14ac:dyDescent="0.35"/>
    <row r="386" s="42" customFormat="1" x14ac:dyDescent="0.35"/>
    <row r="387" s="42" customFormat="1" x14ac:dyDescent="0.35"/>
    <row r="388" s="42" customFormat="1" x14ac:dyDescent="0.35"/>
    <row r="389" s="42" customFormat="1" x14ac:dyDescent="0.35"/>
    <row r="390" s="42" customFormat="1" x14ac:dyDescent="0.35"/>
    <row r="391" s="42" customFormat="1" x14ac:dyDescent="0.35"/>
    <row r="392" s="42" customFormat="1" x14ac:dyDescent="0.35"/>
    <row r="393" s="42" customFormat="1" x14ac:dyDescent="0.35"/>
    <row r="394" s="42" customFormat="1" x14ac:dyDescent="0.35"/>
    <row r="395" s="42" customFormat="1" x14ac:dyDescent="0.35"/>
    <row r="396" s="42" customFormat="1" x14ac:dyDescent="0.35"/>
    <row r="397" s="42" customFormat="1" x14ac:dyDescent="0.35"/>
    <row r="398" s="42" customFormat="1" x14ac:dyDescent="0.35"/>
    <row r="399" s="42" customFormat="1" x14ac:dyDescent="0.35"/>
    <row r="400" s="42" customFormat="1" x14ac:dyDescent="0.35"/>
    <row r="401" s="42" customFormat="1" x14ac:dyDescent="0.35"/>
    <row r="402" s="42" customFormat="1" x14ac:dyDescent="0.35"/>
    <row r="403" s="42" customFormat="1" x14ac:dyDescent="0.35"/>
    <row r="404" s="42" customFormat="1" x14ac:dyDescent="0.35"/>
    <row r="405" s="42" customFormat="1" x14ac:dyDescent="0.35"/>
    <row r="406" s="42" customFormat="1" x14ac:dyDescent="0.35"/>
    <row r="407" s="42" customFormat="1" x14ac:dyDescent="0.35"/>
    <row r="408" s="42" customFormat="1" x14ac:dyDescent="0.35"/>
    <row r="409" s="42" customFormat="1" x14ac:dyDescent="0.35"/>
    <row r="410" s="42" customFormat="1" x14ac:dyDescent="0.35"/>
    <row r="411" s="42" customFormat="1" x14ac:dyDescent="0.35"/>
    <row r="412" s="42" customFormat="1" x14ac:dyDescent="0.35"/>
    <row r="413" s="42" customFormat="1" x14ac:dyDescent="0.35"/>
    <row r="414" s="42" customFormat="1" x14ac:dyDescent="0.35"/>
    <row r="415" s="42" customFormat="1" x14ac:dyDescent="0.35"/>
    <row r="416" s="42" customFormat="1" x14ac:dyDescent="0.35"/>
    <row r="417" s="42" customFormat="1" x14ac:dyDescent="0.35"/>
    <row r="418" s="42" customFormat="1" x14ac:dyDescent="0.35"/>
    <row r="419" s="42" customFormat="1" x14ac:dyDescent="0.35"/>
    <row r="420" s="42" customFormat="1" x14ac:dyDescent="0.35"/>
    <row r="421" s="42" customFormat="1" x14ac:dyDescent="0.35"/>
    <row r="422" s="42" customFormat="1" x14ac:dyDescent="0.35"/>
    <row r="423" s="42" customFormat="1" x14ac:dyDescent="0.35"/>
    <row r="424" s="42" customFormat="1" x14ac:dyDescent="0.35"/>
    <row r="425" s="42" customFormat="1" x14ac:dyDescent="0.35"/>
    <row r="426" s="42" customFormat="1" x14ac:dyDescent="0.35"/>
    <row r="427" s="42" customFormat="1" x14ac:dyDescent="0.35"/>
    <row r="428" s="42" customFormat="1" x14ac:dyDescent="0.35"/>
    <row r="429" s="42" customFormat="1" x14ac:dyDescent="0.35"/>
    <row r="430" s="42" customFormat="1" x14ac:dyDescent="0.35"/>
    <row r="431" s="42" customFormat="1" x14ac:dyDescent="0.35"/>
    <row r="432" s="42" customFormat="1" x14ac:dyDescent="0.35"/>
    <row r="433" s="42" customFormat="1" x14ac:dyDescent="0.35"/>
    <row r="434" s="42" customFormat="1" x14ac:dyDescent="0.35"/>
    <row r="435" s="42" customFormat="1" x14ac:dyDescent="0.35"/>
    <row r="436" s="42" customFormat="1" x14ac:dyDescent="0.35"/>
    <row r="437" s="42" customFormat="1" x14ac:dyDescent="0.35"/>
    <row r="438" s="42" customFormat="1" x14ac:dyDescent="0.35"/>
    <row r="439" s="42" customFormat="1" x14ac:dyDescent="0.35"/>
    <row r="440" s="42" customFormat="1" x14ac:dyDescent="0.35"/>
    <row r="441" s="42" customFormat="1" x14ac:dyDescent="0.35"/>
    <row r="442" s="42" customFormat="1" x14ac:dyDescent="0.35"/>
    <row r="443" s="42" customFormat="1" x14ac:dyDescent="0.35"/>
    <row r="444" s="42" customFormat="1" x14ac:dyDescent="0.35"/>
    <row r="445" s="42" customFormat="1" x14ac:dyDescent="0.35"/>
    <row r="446" s="42" customFormat="1" x14ac:dyDescent="0.35"/>
    <row r="447" s="42" customFormat="1" x14ac:dyDescent="0.35"/>
    <row r="448" s="42" customFormat="1" x14ac:dyDescent="0.35"/>
    <row r="449" s="42" customFormat="1" x14ac:dyDescent="0.35"/>
    <row r="450" s="42" customFormat="1" x14ac:dyDescent="0.35"/>
    <row r="451" s="42" customFormat="1" x14ac:dyDescent="0.35"/>
    <row r="452" s="42" customFormat="1" x14ac:dyDescent="0.35"/>
    <row r="453" s="42" customFormat="1" x14ac:dyDescent="0.35"/>
    <row r="454" s="42" customFormat="1" x14ac:dyDescent="0.35"/>
    <row r="455" s="42" customFormat="1" x14ac:dyDescent="0.35"/>
    <row r="456" s="42" customFormat="1" x14ac:dyDescent="0.35"/>
    <row r="457" s="42" customFormat="1" x14ac:dyDescent="0.35"/>
    <row r="458" s="42" customFormat="1" x14ac:dyDescent="0.35"/>
    <row r="459" s="42" customFormat="1" x14ac:dyDescent="0.35"/>
    <row r="460" s="42" customFormat="1" x14ac:dyDescent="0.35"/>
    <row r="461" s="42" customFormat="1" x14ac:dyDescent="0.35"/>
    <row r="462" s="42" customFormat="1" x14ac:dyDescent="0.35"/>
    <row r="463" s="42" customFormat="1" x14ac:dyDescent="0.35"/>
    <row r="464" s="42" customFormat="1" x14ac:dyDescent="0.35"/>
    <row r="465" s="42" customFormat="1" x14ac:dyDescent="0.35"/>
    <row r="466" s="42" customFormat="1" x14ac:dyDescent="0.35"/>
    <row r="467" s="42" customFormat="1" x14ac:dyDescent="0.35"/>
    <row r="468" s="42" customFormat="1" x14ac:dyDescent="0.35"/>
    <row r="469" s="42" customFormat="1" x14ac:dyDescent="0.35"/>
    <row r="470" s="42" customFormat="1" x14ac:dyDescent="0.35"/>
    <row r="471" s="42" customFormat="1" x14ac:dyDescent="0.35"/>
    <row r="472" s="42" customFormat="1" x14ac:dyDescent="0.35"/>
    <row r="473" s="42" customFormat="1" x14ac:dyDescent="0.35"/>
    <row r="474" s="42" customFormat="1" x14ac:dyDescent="0.35"/>
    <row r="475" s="42" customFormat="1" x14ac:dyDescent="0.35"/>
    <row r="476" s="42" customFormat="1" x14ac:dyDescent="0.35"/>
    <row r="477" s="42" customFormat="1" x14ac:dyDescent="0.35"/>
    <row r="478" s="42" customFormat="1" x14ac:dyDescent="0.35"/>
    <row r="479" s="42" customFormat="1" x14ac:dyDescent="0.35"/>
    <row r="480" s="42" customFormat="1" x14ac:dyDescent="0.35"/>
    <row r="481" s="42" customFormat="1" x14ac:dyDescent="0.35"/>
    <row r="482" s="42" customFormat="1" x14ac:dyDescent="0.35"/>
    <row r="483" s="42" customFormat="1" x14ac:dyDescent="0.35"/>
    <row r="484" s="42" customFormat="1" x14ac:dyDescent="0.35"/>
    <row r="485" s="42" customFormat="1" x14ac:dyDescent="0.35"/>
    <row r="486" s="42" customFormat="1" x14ac:dyDescent="0.35"/>
    <row r="487" s="42" customFormat="1" x14ac:dyDescent="0.35"/>
    <row r="488" s="42" customFormat="1" x14ac:dyDescent="0.35"/>
    <row r="489" s="42" customFormat="1" x14ac:dyDescent="0.35"/>
    <row r="490" s="42" customFormat="1" x14ac:dyDescent="0.35"/>
    <row r="491" s="42" customFormat="1" x14ac:dyDescent="0.35"/>
    <row r="492" s="42" customFormat="1" x14ac:dyDescent="0.35"/>
    <row r="493" s="42" customFormat="1" x14ac:dyDescent="0.35"/>
    <row r="494" s="42" customFormat="1" x14ac:dyDescent="0.35"/>
    <row r="495" s="42" customFormat="1" x14ac:dyDescent="0.35"/>
    <row r="496" s="42" customFormat="1" x14ac:dyDescent="0.35"/>
    <row r="497" s="42" customFormat="1" x14ac:dyDescent="0.35"/>
    <row r="498" s="42" customFormat="1" x14ac:dyDescent="0.35"/>
    <row r="499" s="42" customFormat="1" x14ac:dyDescent="0.35"/>
    <row r="500" s="42" customFormat="1" x14ac:dyDescent="0.35"/>
    <row r="501" s="42" customFormat="1" x14ac:dyDescent="0.35"/>
    <row r="502" s="42" customFormat="1" x14ac:dyDescent="0.35"/>
    <row r="503" s="42" customFormat="1" x14ac:dyDescent="0.35"/>
    <row r="504" s="42" customFormat="1" x14ac:dyDescent="0.35"/>
    <row r="505" s="42" customFormat="1" x14ac:dyDescent="0.35"/>
    <row r="506" s="42" customFormat="1" x14ac:dyDescent="0.35"/>
    <row r="507" s="42" customFormat="1" x14ac:dyDescent="0.35"/>
    <row r="508" s="42" customFormat="1" x14ac:dyDescent="0.35"/>
    <row r="509" s="42" customFormat="1" x14ac:dyDescent="0.35"/>
    <row r="510" s="42" customFormat="1" x14ac:dyDescent="0.35"/>
    <row r="511" s="42" customFormat="1" x14ac:dyDescent="0.35"/>
    <row r="512" s="42" customFormat="1" x14ac:dyDescent="0.35"/>
    <row r="513" s="42" customFormat="1" x14ac:dyDescent="0.35"/>
    <row r="514" s="42" customFormat="1" x14ac:dyDescent="0.35"/>
    <row r="515" s="42" customFormat="1" x14ac:dyDescent="0.35"/>
    <row r="516" s="42" customFormat="1" x14ac:dyDescent="0.35"/>
    <row r="517" s="42" customFormat="1" x14ac:dyDescent="0.35"/>
    <row r="518" s="42" customFormat="1" x14ac:dyDescent="0.35"/>
    <row r="519" s="42" customFormat="1" x14ac:dyDescent="0.35"/>
    <row r="520" s="42" customFormat="1" x14ac:dyDescent="0.35"/>
    <row r="521" s="42" customFormat="1" x14ac:dyDescent="0.35"/>
    <row r="522" s="42" customFormat="1" x14ac:dyDescent="0.35"/>
    <row r="523" s="42" customFormat="1" x14ac:dyDescent="0.35"/>
    <row r="524" s="42" customFormat="1" x14ac:dyDescent="0.35"/>
    <row r="525" s="42" customFormat="1" x14ac:dyDescent="0.35"/>
    <row r="526" s="42" customFormat="1" x14ac:dyDescent="0.35"/>
    <row r="527" s="42" customFormat="1" x14ac:dyDescent="0.35"/>
    <row r="528" s="42" customFormat="1" x14ac:dyDescent="0.35"/>
    <row r="529" s="42" customFormat="1" x14ac:dyDescent="0.35"/>
    <row r="530" s="42" customFormat="1" x14ac:dyDescent="0.35"/>
    <row r="531" s="42" customFormat="1" x14ac:dyDescent="0.35"/>
    <row r="532" s="42" customFormat="1" x14ac:dyDescent="0.35"/>
    <row r="533" s="42" customFormat="1" x14ac:dyDescent="0.35"/>
    <row r="534" s="42" customFormat="1" x14ac:dyDescent="0.35"/>
    <row r="535" s="42" customFormat="1" x14ac:dyDescent="0.35"/>
    <row r="536" s="42" customFormat="1" x14ac:dyDescent="0.35"/>
    <row r="537" s="42" customFormat="1" x14ac:dyDescent="0.35"/>
    <row r="538" s="42" customFormat="1" x14ac:dyDescent="0.35"/>
    <row r="539" s="42" customFormat="1" x14ac:dyDescent="0.35"/>
    <row r="540" s="42" customFormat="1" x14ac:dyDescent="0.35"/>
    <row r="541" s="42" customFormat="1" x14ac:dyDescent="0.35"/>
    <row r="542" s="42" customFormat="1" x14ac:dyDescent="0.35"/>
    <row r="543" s="42" customFormat="1" x14ac:dyDescent="0.35"/>
    <row r="544" s="42" customFormat="1" x14ac:dyDescent="0.35"/>
    <row r="545" s="42" customFormat="1" x14ac:dyDescent="0.35"/>
    <row r="546" s="42" customFormat="1" x14ac:dyDescent="0.35"/>
    <row r="547" s="42" customFormat="1" x14ac:dyDescent="0.35"/>
    <row r="548" s="42" customFormat="1" x14ac:dyDescent="0.35"/>
    <row r="549" s="42" customFormat="1" x14ac:dyDescent="0.35"/>
    <row r="550" s="42" customFormat="1" x14ac:dyDescent="0.35"/>
    <row r="551" s="42" customFormat="1" x14ac:dyDescent="0.35"/>
    <row r="552" s="42" customFormat="1" x14ac:dyDescent="0.35"/>
    <row r="553" s="42" customFormat="1" x14ac:dyDescent="0.35"/>
    <row r="554" s="42" customFormat="1" x14ac:dyDescent="0.35"/>
    <row r="555" s="42" customFormat="1" x14ac:dyDescent="0.35"/>
    <row r="556" s="42" customFormat="1" x14ac:dyDescent="0.35"/>
    <row r="557" s="42" customFormat="1" x14ac:dyDescent="0.35"/>
    <row r="558" s="42" customFormat="1" x14ac:dyDescent="0.35"/>
    <row r="559" s="42" customFormat="1" x14ac:dyDescent="0.35"/>
    <row r="560" s="42" customFormat="1" x14ac:dyDescent="0.35"/>
    <row r="561" s="42" customFormat="1" x14ac:dyDescent="0.35"/>
    <row r="562" s="42" customFormat="1" x14ac:dyDescent="0.35"/>
    <row r="563" s="42" customFormat="1" x14ac:dyDescent="0.35"/>
    <row r="564" s="42" customFormat="1" x14ac:dyDescent="0.35"/>
    <row r="565" s="42" customFormat="1" x14ac:dyDescent="0.35"/>
    <row r="566" s="42" customFormat="1" x14ac:dyDescent="0.35"/>
    <row r="567" s="42" customFormat="1" x14ac:dyDescent="0.35"/>
    <row r="568" s="42" customFormat="1" x14ac:dyDescent="0.35"/>
    <row r="569" s="42" customFormat="1" x14ac:dyDescent="0.35"/>
    <row r="570" s="42" customFormat="1" x14ac:dyDescent="0.35"/>
    <row r="571" s="42" customFormat="1" x14ac:dyDescent="0.35"/>
    <row r="572" s="42" customFormat="1" x14ac:dyDescent="0.35"/>
    <row r="573" s="42" customFormat="1" x14ac:dyDescent="0.35"/>
    <row r="574" s="42" customFormat="1" x14ac:dyDescent="0.35"/>
  </sheetData>
  <mergeCells count="4">
    <mergeCell ref="C7:C15"/>
    <mergeCell ref="C4:O4"/>
    <mergeCell ref="C27:C31"/>
    <mergeCell ref="C18:C24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024AA-77A8-C04B-8D22-234A2419C5F1}">
  <sheetPr codeName="Sheet6">
    <tabColor theme="0" tint="-0.499984740745262"/>
  </sheetPr>
  <dimension ref="A1:CS578"/>
  <sheetViews>
    <sheetView showGridLines="0" topLeftCell="B2" zoomScale="130" zoomScaleNormal="130" workbookViewId="0">
      <selection activeCell="G36" sqref="G36"/>
    </sheetView>
  </sheetViews>
  <sheetFormatPr defaultColWidth="10.83203125" defaultRowHeight="15.5" x14ac:dyDescent="0.35"/>
  <cols>
    <col min="1" max="1" width="4.58203125" style="42" customWidth="1"/>
    <col min="2" max="2" width="10.58203125" style="14" customWidth="1"/>
    <col min="3" max="3" width="22.33203125" style="14" bestFit="1" customWidth="1"/>
    <col min="4" max="4" width="22.08203125" style="14" bestFit="1" customWidth="1"/>
    <col min="5" max="9" width="15.5" style="14" customWidth="1"/>
    <col min="10" max="10" width="10.58203125" style="14" customWidth="1"/>
    <col min="11" max="97" width="10.83203125" style="42"/>
    <col min="98" max="16384" width="10.83203125" style="14"/>
  </cols>
  <sheetData>
    <row r="1" spans="2:10" s="42" customFormat="1" ht="16" thickBot="1" x14ac:dyDescent="0.4"/>
    <row r="2" spans="2:10" ht="16" thickTop="1" x14ac:dyDescent="0.35">
      <c r="B2" s="49"/>
      <c r="C2" s="50"/>
      <c r="D2" s="50"/>
      <c r="E2" s="50"/>
      <c r="F2" s="50"/>
      <c r="G2" s="50"/>
      <c r="H2" s="50"/>
      <c r="I2" s="50"/>
      <c r="J2" s="51"/>
    </row>
    <row r="3" spans="2:10" x14ac:dyDescent="0.35">
      <c r="B3" s="52"/>
      <c r="J3" s="37"/>
    </row>
    <row r="4" spans="2:10" ht="20.5" thickBot="1" x14ac:dyDescent="0.4">
      <c r="B4" s="52"/>
      <c r="C4" s="155" t="s">
        <v>46</v>
      </c>
      <c r="D4" s="155"/>
      <c r="E4" s="155"/>
      <c r="F4" s="155"/>
      <c r="G4" s="155"/>
      <c r="H4" s="155"/>
      <c r="I4" s="155"/>
      <c r="J4" s="37"/>
    </row>
    <row r="5" spans="2:10" x14ac:dyDescent="0.35">
      <c r="B5" s="52"/>
      <c r="J5" s="37"/>
    </row>
    <row r="6" spans="2:10" x14ac:dyDescent="0.35">
      <c r="B6" s="52"/>
      <c r="J6" s="37"/>
    </row>
    <row r="7" spans="2:10" x14ac:dyDescent="0.35">
      <c r="B7" s="52"/>
      <c r="C7" s="157" t="s">
        <v>96</v>
      </c>
      <c r="D7" s="185"/>
      <c r="E7" s="121" t="s">
        <v>95</v>
      </c>
      <c r="F7" s="103" t="s">
        <v>94</v>
      </c>
      <c r="G7" s="103" t="s">
        <v>100</v>
      </c>
      <c r="J7" s="37"/>
    </row>
    <row r="8" spans="2:10" x14ac:dyDescent="0.35">
      <c r="B8" s="52"/>
      <c r="C8" s="182" t="s">
        <v>64</v>
      </c>
      <c r="D8" s="127" t="s">
        <v>81</v>
      </c>
      <c r="E8" s="133">
        <v>4.0850999999999997</v>
      </c>
      <c r="F8" s="134">
        <f>88.696+1.65</f>
        <v>90.346000000000004</v>
      </c>
      <c r="G8" s="134">
        <v>92.9</v>
      </c>
      <c r="J8" s="37"/>
    </row>
    <row r="9" spans="2:10" x14ac:dyDescent="0.35">
      <c r="B9" s="52"/>
      <c r="C9" s="183"/>
      <c r="D9" s="128" t="s">
        <v>82</v>
      </c>
      <c r="E9" s="133">
        <v>4.0850999999999997</v>
      </c>
      <c r="F9" s="134">
        <f>88.696+1.65</f>
        <v>90.346000000000004</v>
      </c>
      <c r="G9" s="134"/>
      <c r="J9" s="37"/>
    </row>
    <row r="10" spans="2:10" x14ac:dyDescent="0.35">
      <c r="B10" s="52"/>
      <c r="C10" s="183"/>
      <c r="D10" s="128" t="s">
        <v>71</v>
      </c>
      <c r="E10" s="133">
        <v>7.5986000000000002</v>
      </c>
      <c r="F10" s="134">
        <f>83.844+1.65</f>
        <v>85.494</v>
      </c>
      <c r="G10" s="134">
        <v>90</v>
      </c>
      <c r="J10" s="37"/>
    </row>
    <row r="11" spans="2:10" x14ac:dyDescent="0.35">
      <c r="B11" s="52"/>
      <c r="C11" s="183"/>
      <c r="D11" s="128" t="s">
        <v>72</v>
      </c>
      <c r="E11" s="133">
        <v>2.3826000000000001</v>
      </c>
      <c r="F11" s="134">
        <f>89.792+1.65</f>
        <v>91.442000000000007</v>
      </c>
      <c r="G11" s="134"/>
      <c r="J11" s="37"/>
    </row>
    <row r="12" spans="2:10" x14ac:dyDescent="0.35">
      <c r="B12" s="52"/>
      <c r="C12" s="183"/>
      <c r="D12" s="128" t="s">
        <v>73</v>
      </c>
      <c r="E12" s="133">
        <v>8.8922000000000008</v>
      </c>
      <c r="F12" s="134">
        <f>85.987+1.65</f>
        <v>87.637</v>
      </c>
      <c r="G12" s="134"/>
      <c r="J12" s="37"/>
    </row>
    <row r="13" spans="2:10" x14ac:dyDescent="0.35">
      <c r="B13" s="52"/>
      <c r="C13" s="183"/>
      <c r="D13" s="128" t="s">
        <v>74</v>
      </c>
      <c r="E13" s="133"/>
      <c r="F13" s="134"/>
      <c r="G13" s="134"/>
      <c r="J13" s="37"/>
    </row>
    <row r="14" spans="2:10" x14ac:dyDescent="0.35">
      <c r="B14" s="52"/>
      <c r="C14" s="183"/>
      <c r="D14" s="128" t="s">
        <v>75</v>
      </c>
      <c r="E14" s="133"/>
      <c r="F14" s="134"/>
      <c r="G14" s="134"/>
      <c r="J14" s="37"/>
    </row>
    <row r="15" spans="2:10" x14ac:dyDescent="0.35">
      <c r="B15" s="52"/>
      <c r="C15" s="183"/>
      <c r="D15" s="128" t="s">
        <v>76</v>
      </c>
      <c r="E15" s="133">
        <v>3.0367999999999999</v>
      </c>
      <c r="F15" s="134">
        <f>89.889+1.65</f>
        <v>91.539000000000001</v>
      </c>
      <c r="G15" s="134"/>
      <c r="J15" s="37"/>
    </row>
    <row r="16" spans="2:10" x14ac:dyDescent="0.35">
      <c r="B16" s="52"/>
      <c r="C16" s="183"/>
      <c r="D16" s="128" t="s">
        <v>77</v>
      </c>
      <c r="E16" s="133">
        <v>3.0367999999999999</v>
      </c>
      <c r="F16" s="134">
        <f>89.889+1.65</f>
        <v>91.539000000000001</v>
      </c>
      <c r="G16" s="134"/>
      <c r="J16" s="37"/>
    </row>
    <row r="17" spans="2:10" x14ac:dyDescent="0.35">
      <c r="B17" s="52"/>
      <c r="C17" s="183"/>
      <c r="D17" s="128" t="s">
        <v>78</v>
      </c>
      <c r="E17" s="133">
        <v>5.4966999999999997</v>
      </c>
      <c r="F17" s="134">
        <f>87.101+1.65</f>
        <v>88.751000000000005</v>
      </c>
      <c r="G17" s="134"/>
      <c r="J17" s="37"/>
    </row>
    <row r="18" spans="2:10" x14ac:dyDescent="0.35">
      <c r="B18" s="52"/>
      <c r="C18" s="183"/>
      <c r="D18" s="128" t="s">
        <v>79</v>
      </c>
      <c r="E18" s="133"/>
      <c r="F18" s="134"/>
      <c r="G18" s="134"/>
      <c r="J18" s="37"/>
    </row>
    <row r="19" spans="2:10" x14ac:dyDescent="0.35">
      <c r="B19" s="52"/>
      <c r="C19" s="184"/>
      <c r="D19" s="129" t="s">
        <v>80</v>
      </c>
      <c r="E19" s="133"/>
      <c r="F19" s="134">
        <v>91</v>
      </c>
      <c r="G19" s="134"/>
      <c r="J19" s="37"/>
    </row>
    <row r="20" spans="2:10" ht="15.5" customHeight="1" x14ac:dyDescent="0.35">
      <c r="B20" s="52"/>
      <c r="C20" s="182" t="s">
        <v>65</v>
      </c>
      <c r="D20" s="127" t="s">
        <v>83</v>
      </c>
      <c r="E20" s="133">
        <v>2.8285999999999998</v>
      </c>
      <c r="F20" s="134">
        <f>90.934+1.65</f>
        <v>92.584000000000003</v>
      </c>
      <c r="G20" s="134"/>
      <c r="J20" s="37"/>
    </row>
    <row r="21" spans="2:10" ht="15.5" customHeight="1" x14ac:dyDescent="0.35">
      <c r="B21" s="52"/>
      <c r="C21" s="183"/>
      <c r="D21" s="128" t="s">
        <v>84</v>
      </c>
      <c r="E21" s="133">
        <v>2.8285999999999998</v>
      </c>
      <c r="F21" s="134">
        <f>90.934+1.65</f>
        <v>92.584000000000003</v>
      </c>
      <c r="G21" s="134"/>
      <c r="J21" s="37"/>
    </row>
    <row r="22" spans="2:10" ht="15.5" customHeight="1" x14ac:dyDescent="0.35">
      <c r="B22" s="52"/>
      <c r="C22" s="183"/>
      <c r="D22" s="128" t="s">
        <v>85</v>
      </c>
      <c r="E22" s="133"/>
      <c r="F22" s="134"/>
      <c r="G22" s="134"/>
      <c r="J22" s="37"/>
    </row>
    <row r="23" spans="2:10" ht="15.5" customHeight="1" x14ac:dyDescent="0.35">
      <c r="B23" s="52"/>
      <c r="C23" s="184"/>
      <c r="D23" s="129" t="s">
        <v>86</v>
      </c>
      <c r="E23" s="133"/>
      <c r="F23" s="134"/>
      <c r="G23" s="134"/>
      <c r="J23" s="37"/>
    </row>
    <row r="24" spans="2:10" ht="15.5" customHeight="1" x14ac:dyDescent="0.35">
      <c r="B24" s="52"/>
      <c r="C24" s="182" t="s">
        <v>66</v>
      </c>
      <c r="D24" s="127" t="str">
        <f>Data!E3</f>
        <v>Surubim OP</v>
      </c>
      <c r="E24" s="133">
        <v>4.0717999999999996</v>
      </c>
      <c r="F24" s="134">
        <f>86.235+1.65</f>
        <v>87.885000000000005</v>
      </c>
      <c r="G24" s="134"/>
      <c r="J24" s="37"/>
    </row>
    <row r="25" spans="2:10" ht="15.5" customHeight="1" x14ac:dyDescent="0.35">
      <c r="B25" s="52"/>
      <c r="C25" s="183"/>
      <c r="D25" s="128" t="str">
        <f>Data!E4</f>
        <v>C12 OP</v>
      </c>
      <c r="E25" s="133">
        <v>4.0717999999999996</v>
      </c>
      <c r="F25" s="134">
        <f>86.235+1.65</f>
        <v>87.885000000000005</v>
      </c>
      <c r="G25" s="134"/>
      <c r="J25" s="37"/>
    </row>
    <row r="26" spans="2:10" ht="15.5" customHeight="1" x14ac:dyDescent="0.35">
      <c r="B26" s="52"/>
      <c r="C26" s="184"/>
      <c r="D26" s="129" t="str">
        <f>Data!E5</f>
        <v>C12 UG</v>
      </c>
      <c r="E26" s="133">
        <v>2.8130000000000002</v>
      </c>
      <c r="F26" s="134">
        <f>87.239+1.65</f>
        <v>88.88900000000001</v>
      </c>
      <c r="G26" s="134"/>
      <c r="J26" s="37"/>
    </row>
    <row r="27" spans="2:10" ht="15.5" customHeight="1" x14ac:dyDescent="0.35">
      <c r="B27" s="52"/>
      <c r="C27" s="120" t="s">
        <v>68</v>
      </c>
      <c r="D27" s="129" t="s">
        <v>68</v>
      </c>
      <c r="E27" s="133"/>
      <c r="F27" s="134"/>
      <c r="G27" s="134"/>
      <c r="J27" s="37"/>
    </row>
    <row r="28" spans="2:10" x14ac:dyDescent="0.35">
      <c r="B28" s="52"/>
      <c r="C28" s="120" t="s">
        <v>69</v>
      </c>
      <c r="D28" s="129" t="s">
        <v>69</v>
      </c>
      <c r="E28" s="133"/>
      <c r="F28" s="134"/>
      <c r="G28" s="134"/>
      <c r="J28" s="37"/>
    </row>
    <row r="29" spans="2:10" x14ac:dyDescent="0.35">
      <c r="B29" s="52"/>
      <c r="C29" s="120" t="s">
        <v>70</v>
      </c>
      <c r="D29" s="129" t="s">
        <v>70</v>
      </c>
      <c r="E29" s="135"/>
      <c r="F29" s="136"/>
      <c r="G29" s="136"/>
      <c r="J29" s="37"/>
    </row>
    <row r="30" spans="2:10" x14ac:dyDescent="0.35">
      <c r="B30" s="52"/>
      <c r="J30" s="37"/>
    </row>
    <row r="31" spans="2:10" x14ac:dyDescent="0.35">
      <c r="B31" s="52"/>
      <c r="C31" s="157" t="s">
        <v>102</v>
      </c>
      <c r="D31" s="185"/>
      <c r="E31" s="121" t="s">
        <v>128</v>
      </c>
      <c r="F31" s="102" t="s">
        <v>104</v>
      </c>
      <c r="G31" s="103" t="s">
        <v>103</v>
      </c>
      <c r="J31" s="37"/>
    </row>
    <row r="32" spans="2:10" x14ac:dyDescent="0.35">
      <c r="B32" s="52"/>
      <c r="C32" s="186" t="s">
        <v>51</v>
      </c>
      <c r="D32" s="187"/>
      <c r="E32" s="122">
        <v>65</v>
      </c>
      <c r="F32" s="123">
        <v>60</v>
      </c>
      <c r="G32" s="124">
        <v>55</v>
      </c>
      <c r="I32" s="14">
        <f>3.85*2204.62</f>
        <v>8487.7870000000003</v>
      </c>
      <c r="J32" s="37"/>
    </row>
    <row r="33" spans="2:10" x14ac:dyDescent="0.35">
      <c r="B33" s="52"/>
      <c r="C33" s="188" t="s">
        <v>97</v>
      </c>
      <c r="D33" s="189"/>
      <c r="E33" s="122">
        <v>65</v>
      </c>
      <c r="F33" s="123">
        <v>60</v>
      </c>
      <c r="G33" s="124">
        <v>45</v>
      </c>
      <c r="J33" s="37"/>
    </row>
    <row r="34" spans="2:10" x14ac:dyDescent="0.35">
      <c r="B34" s="52"/>
      <c r="J34" s="37"/>
    </row>
    <row r="35" spans="2:10" x14ac:dyDescent="0.35">
      <c r="B35" s="52"/>
      <c r="C35" s="157" t="s">
        <v>106</v>
      </c>
      <c r="D35" s="185"/>
      <c r="E35" s="121" t="s">
        <v>128</v>
      </c>
      <c r="F35" s="102" t="s">
        <v>104</v>
      </c>
      <c r="G35" s="103" t="s">
        <v>103</v>
      </c>
      <c r="J35" s="37"/>
    </row>
    <row r="36" spans="2:10" x14ac:dyDescent="0.35">
      <c r="B36" s="52"/>
      <c r="C36" s="188" t="s">
        <v>63</v>
      </c>
      <c r="D36" s="189"/>
      <c r="E36" s="122">
        <v>35</v>
      </c>
      <c r="F36" s="123">
        <v>33.5</v>
      </c>
      <c r="G36" s="124">
        <v>30</v>
      </c>
      <c r="J36" s="37"/>
    </row>
    <row r="37" spans="2:10" ht="16" thickBot="1" x14ac:dyDescent="0.4">
      <c r="B37" s="53"/>
      <c r="C37" s="54"/>
      <c r="D37" s="54"/>
      <c r="E37" s="54"/>
      <c r="F37" s="54"/>
      <c r="G37" s="54"/>
      <c r="H37" s="54"/>
      <c r="I37" s="54"/>
      <c r="J37" s="55"/>
    </row>
    <row r="38" spans="2:10" s="42" customFormat="1" ht="16" thickTop="1" x14ac:dyDescent="0.35"/>
    <row r="39" spans="2:10" s="42" customFormat="1" x14ac:dyDescent="0.35"/>
    <row r="40" spans="2:10" s="42" customFormat="1" x14ac:dyDescent="0.35"/>
    <row r="41" spans="2:10" s="42" customFormat="1" x14ac:dyDescent="0.35"/>
    <row r="42" spans="2:10" s="42" customFormat="1" x14ac:dyDescent="0.35"/>
    <row r="43" spans="2:10" s="42" customFormat="1" x14ac:dyDescent="0.35"/>
    <row r="44" spans="2:10" s="42" customFormat="1" x14ac:dyDescent="0.35"/>
    <row r="45" spans="2:10" s="42" customFormat="1" x14ac:dyDescent="0.35"/>
    <row r="46" spans="2:10" s="42" customFormat="1" x14ac:dyDescent="0.35"/>
    <row r="47" spans="2:10" s="42" customFormat="1" x14ac:dyDescent="0.35"/>
    <row r="48" spans="2:10" s="42" customFormat="1" x14ac:dyDescent="0.35"/>
    <row r="49" s="42" customFormat="1" x14ac:dyDescent="0.35"/>
    <row r="50" s="42" customFormat="1" x14ac:dyDescent="0.35"/>
    <row r="51" s="42" customFormat="1" x14ac:dyDescent="0.35"/>
    <row r="52" s="42" customFormat="1" x14ac:dyDescent="0.35"/>
    <row r="53" s="42" customFormat="1" x14ac:dyDescent="0.35"/>
    <row r="54" s="42" customFormat="1" x14ac:dyDescent="0.35"/>
    <row r="55" s="42" customFormat="1" x14ac:dyDescent="0.35"/>
    <row r="56" s="42" customFormat="1" x14ac:dyDescent="0.35"/>
    <row r="57" s="42" customFormat="1" x14ac:dyDescent="0.35"/>
    <row r="58" s="42" customFormat="1" x14ac:dyDescent="0.35"/>
    <row r="59" s="42" customFormat="1" x14ac:dyDescent="0.35"/>
    <row r="60" s="42" customFormat="1" x14ac:dyDescent="0.35"/>
    <row r="61" s="42" customFormat="1" x14ac:dyDescent="0.35"/>
    <row r="62" s="42" customFormat="1" x14ac:dyDescent="0.35"/>
    <row r="63" s="42" customFormat="1" x14ac:dyDescent="0.35"/>
    <row r="64" s="42" customFormat="1" x14ac:dyDescent="0.35"/>
    <row r="65" s="42" customFormat="1" x14ac:dyDescent="0.35"/>
    <row r="66" s="42" customFormat="1" x14ac:dyDescent="0.35"/>
    <row r="67" s="42" customFormat="1" x14ac:dyDescent="0.35"/>
    <row r="68" s="42" customFormat="1" x14ac:dyDescent="0.35"/>
    <row r="69" s="42" customFormat="1" x14ac:dyDescent="0.35"/>
    <row r="70" s="42" customFormat="1" x14ac:dyDescent="0.35"/>
    <row r="71" s="42" customFormat="1" x14ac:dyDescent="0.35"/>
    <row r="72" s="42" customFormat="1" x14ac:dyDescent="0.35"/>
    <row r="73" s="42" customFormat="1" x14ac:dyDescent="0.35"/>
    <row r="74" s="42" customFormat="1" x14ac:dyDescent="0.35"/>
    <row r="75" s="42" customFormat="1" x14ac:dyDescent="0.35"/>
    <row r="76" s="42" customFormat="1" x14ac:dyDescent="0.35"/>
    <row r="77" s="42" customFormat="1" x14ac:dyDescent="0.35"/>
    <row r="78" s="42" customFormat="1" x14ac:dyDescent="0.35"/>
    <row r="79" s="42" customFormat="1" x14ac:dyDescent="0.35"/>
    <row r="80" s="42" customFormat="1" x14ac:dyDescent="0.35"/>
    <row r="81" s="42" customFormat="1" x14ac:dyDescent="0.35"/>
    <row r="82" s="42" customFormat="1" x14ac:dyDescent="0.35"/>
    <row r="83" s="42" customFormat="1" x14ac:dyDescent="0.35"/>
    <row r="84" s="42" customFormat="1" x14ac:dyDescent="0.35"/>
    <row r="85" s="42" customFormat="1" x14ac:dyDescent="0.35"/>
    <row r="86" s="42" customFormat="1" x14ac:dyDescent="0.35"/>
    <row r="87" s="42" customFormat="1" x14ac:dyDescent="0.35"/>
    <row r="88" s="42" customFormat="1" x14ac:dyDescent="0.35"/>
    <row r="89" s="42" customFormat="1" x14ac:dyDescent="0.35"/>
    <row r="90" s="42" customFormat="1" x14ac:dyDescent="0.35"/>
    <row r="91" s="42" customFormat="1" x14ac:dyDescent="0.35"/>
    <row r="92" s="42" customFormat="1" x14ac:dyDescent="0.35"/>
    <row r="93" s="42" customFormat="1" x14ac:dyDescent="0.35"/>
    <row r="94" s="42" customFormat="1" x14ac:dyDescent="0.35"/>
    <row r="95" s="42" customFormat="1" x14ac:dyDescent="0.35"/>
    <row r="96" s="42" customFormat="1" x14ac:dyDescent="0.35"/>
    <row r="97" s="42" customFormat="1" x14ac:dyDescent="0.35"/>
    <row r="98" s="42" customFormat="1" x14ac:dyDescent="0.35"/>
    <row r="99" s="42" customFormat="1" x14ac:dyDescent="0.35"/>
    <row r="100" s="42" customFormat="1" x14ac:dyDescent="0.35"/>
    <row r="101" s="42" customFormat="1" x14ac:dyDescent="0.35"/>
    <row r="102" s="42" customFormat="1" x14ac:dyDescent="0.35"/>
    <row r="103" s="42" customFormat="1" x14ac:dyDescent="0.35"/>
    <row r="104" s="42" customFormat="1" x14ac:dyDescent="0.35"/>
    <row r="105" s="42" customFormat="1" x14ac:dyDescent="0.35"/>
    <row r="106" s="42" customFormat="1" x14ac:dyDescent="0.35"/>
    <row r="107" s="42" customFormat="1" x14ac:dyDescent="0.35"/>
    <row r="108" s="42" customFormat="1" x14ac:dyDescent="0.35"/>
    <row r="109" s="42" customFormat="1" x14ac:dyDescent="0.35"/>
    <row r="110" s="42" customFormat="1" x14ac:dyDescent="0.35"/>
    <row r="111" s="42" customFormat="1" x14ac:dyDescent="0.35"/>
    <row r="112" s="42" customFormat="1" x14ac:dyDescent="0.35"/>
    <row r="113" s="42" customFormat="1" x14ac:dyDescent="0.35"/>
    <row r="114" s="42" customFormat="1" x14ac:dyDescent="0.35"/>
    <row r="115" s="42" customFormat="1" x14ac:dyDescent="0.35"/>
    <row r="116" s="42" customFormat="1" x14ac:dyDescent="0.35"/>
    <row r="117" s="42" customFormat="1" x14ac:dyDescent="0.35"/>
    <row r="118" s="42" customFormat="1" x14ac:dyDescent="0.35"/>
    <row r="119" s="42" customFormat="1" x14ac:dyDescent="0.35"/>
    <row r="120" s="42" customFormat="1" x14ac:dyDescent="0.35"/>
    <row r="121" s="42" customFormat="1" x14ac:dyDescent="0.35"/>
    <row r="122" s="42" customFormat="1" x14ac:dyDescent="0.35"/>
    <row r="123" s="42" customFormat="1" x14ac:dyDescent="0.35"/>
    <row r="124" s="42" customFormat="1" x14ac:dyDescent="0.35"/>
    <row r="125" s="42" customFormat="1" x14ac:dyDescent="0.35"/>
    <row r="126" s="42" customFormat="1" x14ac:dyDescent="0.35"/>
    <row r="127" s="42" customFormat="1" x14ac:dyDescent="0.35"/>
    <row r="128" s="42" customFormat="1" x14ac:dyDescent="0.35"/>
    <row r="129" s="42" customFormat="1" x14ac:dyDescent="0.35"/>
    <row r="130" s="42" customFormat="1" x14ac:dyDescent="0.35"/>
    <row r="131" s="42" customFormat="1" x14ac:dyDescent="0.35"/>
    <row r="132" s="42" customFormat="1" x14ac:dyDescent="0.35"/>
    <row r="133" s="42" customFormat="1" x14ac:dyDescent="0.35"/>
    <row r="134" s="42" customFormat="1" x14ac:dyDescent="0.35"/>
    <row r="135" s="42" customFormat="1" x14ac:dyDescent="0.35"/>
    <row r="136" s="42" customFormat="1" x14ac:dyDescent="0.35"/>
    <row r="137" s="42" customFormat="1" x14ac:dyDescent="0.35"/>
    <row r="138" s="42" customFormat="1" x14ac:dyDescent="0.35"/>
    <row r="139" s="42" customFormat="1" x14ac:dyDescent="0.35"/>
    <row r="140" s="42" customFormat="1" x14ac:dyDescent="0.35"/>
    <row r="141" s="42" customFormat="1" x14ac:dyDescent="0.35"/>
    <row r="142" s="42" customFormat="1" x14ac:dyDescent="0.35"/>
    <row r="143" s="42" customFormat="1" x14ac:dyDescent="0.35"/>
    <row r="144" s="42" customFormat="1" x14ac:dyDescent="0.35"/>
    <row r="145" s="42" customFormat="1" x14ac:dyDescent="0.35"/>
    <row r="146" s="42" customFormat="1" x14ac:dyDescent="0.35"/>
    <row r="147" s="42" customFormat="1" x14ac:dyDescent="0.35"/>
    <row r="148" s="42" customFormat="1" x14ac:dyDescent="0.35"/>
    <row r="149" s="42" customFormat="1" x14ac:dyDescent="0.35"/>
    <row r="150" s="42" customFormat="1" x14ac:dyDescent="0.35"/>
    <row r="151" s="42" customFormat="1" x14ac:dyDescent="0.35"/>
    <row r="152" s="42" customFormat="1" x14ac:dyDescent="0.35"/>
    <row r="153" s="42" customFormat="1" x14ac:dyDescent="0.35"/>
    <row r="154" s="42" customFormat="1" x14ac:dyDescent="0.35"/>
    <row r="155" s="42" customFormat="1" x14ac:dyDescent="0.35"/>
    <row r="156" s="42" customFormat="1" x14ac:dyDescent="0.35"/>
    <row r="157" s="42" customFormat="1" x14ac:dyDescent="0.35"/>
    <row r="158" s="42" customFormat="1" x14ac:dyDescent="0.35"/>
    <row r="159" s="42" customFormat="1" x14ac:dyDescent="0.35"/>
    <row r="160" s="42" customFormat="1" x14ac:dyDescent="0.35"/>
    <row r="161" s="42" customFormat="1" x14ac:dyDescent="0.35"/>
    <row r="162" s="42" customFormat="1" x14ac:dyDescent="0.35"/>
    <row r="163" s="42" customFormat="1" x14ac:dyDescent="0.35"/>
    <row r="164" s="42" customFormat="1" x14ac:dyDescent="0.35"/>
    <row r="165" s="42" customFormat="1" x14ac:dyDescent="0.35"/>
    <row r="166" s="42" customFormat="1" x14ac:dyDescent="0.35"/>
    <row r="167" s="42" customFormat="1" x14ac:dyDescent="0.35"/>
    <row r="168" s="42" customFormat="1" x14ac:dyDescent="0.35"/>
    <row r="169" s="42" customFormat="1" x14ac:dyDescent="0.35"/>
    <row r="170" s="42" customFormat="1" x14ac:dyDescent="0.35"/>
    <row r="171" s="42" customFormat="1" x14ac:dyDescent="0.35"/>
    <row r="172" s="42" customFormat="1" x14ac:dyDescent="0.35"/>
    <row r="173" s="42" customFormat="1" x14ac:dyDescent="0.35"/>
    <row r="174" s="42" customFormat="1" x14ac:dyDescent="0.35"/>
    <row r="175" s="42" customFormat="1" x14ac:dyDescent="0.35"/>
    <row r="176" s="42" customFormat="1" x14ac:dyDescent="0.35"/>
    <row r="177" s="42" customFormat="1" x14ac:dyDescent="0.35"/>
    <row r="178" s="42" customFormat="1" x14ac:dyDescent="0.35"/>
    <row r="179" s="42" customFormat="1" x14ac:dyDescent="0.35"/>
    <row r="180" s="42" customFormat="1" x14ac:dyDescent="0.35"/>
    <row r="181" s="42" customFormat="1" x14ac:dyDescent="0.35"/>
    <row r="182" s="42" customFormat="1" x14ac:dyDescent="0.35"/>
    <row r="183" s="42" customFormat="1" x14ac:dyDescent="0.35"/>
    <row r="184" s="42" customFormat="1" x14ac:dyDescent="0.35"/>
    <row r="185" s="42" customFormat="1" x14ac:dyDescent="0.35"/>
    <row r="186" s="42" customFormat="1" x14ac:dyDescent="0.35"/>
    <row r="187" s="42" customFormat="1" x14ac:dyDescent="0.35"/>
    <row r="188" s="42" customFormat="1" x14ac:dyDescent="0.35"/>
    <row r="189" s="42" customFormat="1" x14ac:dyDescent="0.35"/>
    <row r="190" s="42" customFormat="1" x14ac:dyDescent="0.35"/>
    <row r="191" s="42" customFormat="1" x14ac:dyDescent="0.35"/>
    <row r="192" s="42" customFormat="1" x14ac:dyDescent="0.35"/>
    <row r="193" s="42" customFormat="1" x14ac:dyDescent="0.35"/>
    <row r="194" s="42" customFormat="1" x14ac:dyDescent="0.35"/>
    <row r="195" s="42" customFormat="1" x14ac:dyDescent="0.35"/>
    <row r="196" s="42" customFormat="1" x14ac:dyDescent="0.35"/>
    <row r="197" s="42" customFormat="1" x14ac:dyDescent="0.35"/>
    <row r="198" s="42" customFormat="1" x14ac:dyDescent="0.35"/>
    <row r="199" s="42" customFormat="1" x14ac:dyDescent="0.35"/>
    <row r="200" s="42" customFormat="1" x14ac:dyDescent="0.35"/>
    <row r="201" s="42" customFormat="1" x14ac:dyDescent="0.35"/>
    <row r="202" s="42" customFormat="1" x14ac:dyDescent="0.35"/>
    <row r="203" s="42" customFormat="1" x14ac:dyDescent="0.35"/>
    <row r="204" s="42" customFormat="1" x14ac:dyDescent="0.35"/>
    <row r="205" s="42" customFormat="1" x14ac:dyDescent="0.35"/>
    <row r="206" s="42" customFormat="1" x14ac:dyDescent="0.35"/>
    <row r="207" s="42" customFormat="1" x14ac:dyDescent="0.35"/>
    <row r="208" s="42" customFormat="1" x14ac:dyDescent="0.35"/>
    <row r="209" s="42" customFormat="1" x14ac:dyDescent="0.35"/>
    <row r="210" s="42" customFormat="1" x14ac:dyDescent="0.35"/>
    <row r="211" s="42" customFormat="1" x14ac:dyDescent="0.35"/>
    <row r="212" s="42" customFormat="1" x14ac:dyDescent="0.35"/>
    <row r="213" s="42" customFormat="1" x14ac:dyDescent="0.35"/>
    <row r="214" s="42" customFormat="1" x14ac:dyDescent="0.35"/>
    <row r="215" s="42" customFormat="1" x14ac:dyDescent="0.35"/>
    <row r="216" s="42" customFormat="1" x14ac:dyDescent="0.35"/>
    <row r="217" s="42" customFormat="1" x14ac:dyDescent="0.35"/>
    <row r="218" s="42" customFormat="1" x14ac:dyDescent="0.35"/>
    <row r="219" s="42" customFormat="1" x14ac:dyDescent="0.35"/>
    <row r="220" s="42" customFormat="1" x14ac:dyDescent="0.35"/>
    <row r="221" s="42" customFormat="1" x14ac:dyDescent="0.35"/>
    <row r="222" s="42" customFormat="1" x14ac:dyDescent="0.35"/>
    <row r="223" s="42" customFormat="1" x14ac:dyDescent="0.35"/>
    <row r="224" s="42" customFormat="1" x14ac:dyDescent="0.35"/>
    <row r="225" s="42" customFormat="1" x14ac:dyDescent="0.35"/>
    <row r="226" s="42" customFormat="1" x14ac:dyDescent="0.35"/>
    <row r="227" s="42" customFormat="1" x14ac:dyDescent="0.35"/>
    <row r="228" s="42" customFormat="1" x14ac:dyDescent="0.35"/>
    <row r="229" s="42" customFormat="1" x14ac:dyDescent="0.35"/>
    <row r="230" s="42" customFormat="1" x14ac:dyDescent="0.35"/>
    <row r="231" s="42" customFormat="1" x14ac:dyDescent="0.35"/>
    <row r="232" s="42" customFormat="1" x14ac:dyDescent="0.35"/>
    <row r="233" s="42" customFormat="1" x14ac:dyDescent="0.35"/>
    <row r="234" s="42" customFormat="1" x14ac:dyDescent="0.35"/>
    <row r="235" s="42" customFormat="1" x14ac:dyDescent="0.35"/>
    <row r="236" s="42" customFormat="1" x14ac:dyDescent="0.35"/>
    <row r="237" s="42" customFormat="1" x14ac:dyDescent="0.35"/>
    <row r="238" s="42" customFormat="1" x14ac:dyDescent="0.35"/>
    <row r="239" s="42" customFormat="1" x14ac:dyDescent="0.35"/>
    <row r="240" s="42" customFormat="1" x14ac:dyDescent="0.35"/>
    <row r="241" s="42" customFormat="1" x14ac:dyDescent="0.35"/>
    <row r="242" s="42" customFormat="1" x14ac:dyDescent="0.35"/>
    <row r="243" s="42" customFormat="1" x14ac:dyDescent="0.35"/>
    <row r="244" s="42" customFormat="1" x14ac:dyDescent="0.35"/>
    <row r="245" s="42" customFormat="1" x14ac:dyDescent="0.35"/>
    <row r="246" s="42" customFormat="1" x14ac:dyDescent="0.35"/>
    <row r="247" s="42" customFormat="1" x14ac:dyDescent="0.35"/>
    <row r="248" s="42" customFormat="1" x14ac:dyDescent="0.35"/>
    <row r="249" s="42" customFormat="1" x14ac:dyDescent="0.35"/>
    <row r="250" s="42" customFormat="1" x14ac:dyDescent="0.35"/>
    <row r="251" s="42" customFormat="1" x14ac:dyDescent="0.35"/>
    <row r="252" s="42" customFormat="1" x14ac:dyDescent="0.35"/>
    <row r="253" s="42" customFormat="1" x14ac:dyDescent="0.35"/>
    <row r="254" s="42" customFormat="1" x14ac:dyDescent="0.35"/>
    <row r="255" s="42" customFormat="1" x14ac:dyDescent="0.35"/>
    <row r="256" s="42" customFormat="1" x14ac:dyDescent="0.35"/>
    <row r="257" s="42" customFormat="1" x14ac:dyDescent="0.35"/>
    <row r="258" s="42" customFormat="1" x14ac:dyDescent="0.35"/>
    <row r="259" s="42" customFormat="1" x14ac:dyDescent="0.35"/>
    <row r="260" s="42" customFormat="1" x14ac:dyDescent="0.35"/>
    <row r="261" s="42" customFormat="1" x14ac:dyDescent="0.35"/>
    <row r="262" s="42" customFormat="1" x14ac:dyDescent="0.35"/>
    <row r="263" s="42" customFormat="1" x14ac:dyDescent="0.35"/>
    <row r="264" s="42" customFormat="1" x14ac:dyDescent="0.35"/>
    <row r="265" s="42" customFormat="1" x14ac:dyDescent="0.35"/>
    <row r="266" s="42" customFormat="1" x14ac:dyDescent="0.35"/>
    <row r="267" s="42" customFormat="1" x14ac:dyDescent="0.35"/>
    <row r="268" s="42" customFormat="1" x14ac:dyDescent="0.35"/>
    <row r="269" s="42" customFormat="1" x14ac:dyDescent="0.35"/>
    <row r="270" s="42" customFormat="1" x14ac:dyDescent="0.35"/>
    <row r="271" s="42" customFormat="1" x14ac:dyDescent="0.35"/>
    <row r="272" s="42" customFormat="1" x14ac:dyDescent="0.35"/>
    <row r="273" s="42" customFormat="1" x14ac:dyDescent="0.35"/>
    <row r="274" s="42" customFormat="1" x14ac:dyDescent="0.35"/>
    <row r="275" s="42" customFormat="1" x14ac:dyDescent="0.35"/>
    <row r="276" s="42" customFormat="1" x14ac:dyDescent="0.35"/>
    <row r="277" s="42" customFormat="1" x14ac:dyDescent="0.35"/>
    <row r="278" s="42" customFormat="1" x14ac:dyDescent="0.35"/>
    <row r="279" s="42" customFormat="1" x14ac:dyDescent="0.35"/>
    <row r="280" s="42" customFormat="1" x14ac:dyDescent="0.35"/>
    <row r="281" s="42" customFormat="1" x14ac:dyDescent="0.35"/>
    <row r="282" s="42" customFormat="1" x14ac:dyDescent="0.35"/>
    <row r="283" s="42" customFormat="1" x14ac:dyDescent="0.35"/>
    <row r="284" s="42" customFormat="1" x14ac:dyDescent="0.35"/>
    <row r="285" s="42" customFormat="1" x14ac:dyDescent="0.35"/>
    <row r="286" s="42" customFormat="1" x14ac:dyDescent="0.35"/>
    <row r="287" s="42" customFormat="1" x14ac:dyDescent="0.35"/>
    <row r="288" s="42" customFormat="1" x14ac:dyDescent="0.35"/>
    <row r="289" s="42" customFormat="1" x14ac:dyDescent="0.35"/>
    <row r="290" s="42" customFormat="1" x14ac:dyDescent="0.35"/>
    <row r="291" s="42" customFormat="1" x14ac:dyDescent="0.35"/>
    <row r="292" s="42" customFormat="1" x14ac:dyDescent="0.35"/>
    <row r="293" s="42" customFormat="1" x14ac:dyDescent="0.35"/>
    <row r="294" s="42" customFormat="1" x14ac:dyDescent="0.35"/>
    <row r="295" s="42" customFormat="1" x14ac:dyDescent="0.35"/>
    <row r="296" s="42" customFormat="1" x14ac:dyDescent="0.35"/>
    <row r="297" s="42" customFormat="1" x14ac:dyDescent="0.35"/>
    <row r="298" s="42" customFormat="1" x14ac:dyDescent="0.35"/>
    <row r="299" s="42" customFormat="1" x14ac:dyDescent="0.35"/>
    <row r="300" s="42" customFormat="1" x14ac:dyDescent="0.35"/>
    <row r="301" s="42" customFormat="1" x14ac:dyDescent="0.35"/>
    <row r="302" s="42" customFormat="1" x14ac:dyDescent="0.35"/>
    <row r="303" s="42" customFormat="1" x14ac:dyDescent="0.35"/>
    <row r="304" s="42" customFormat="1" x14ac:dyDescent="0.35"/>
    <row r="305" s="42" customFormat="1" x14ac:dyDescent="0.35"/>
    <row r="306" s="42" customFormat="1" x14ac:dyDescent="0.35"/>
    <row r="307" s="42" customFormat="1" x14ac:dyDescent="0.35"/>
    <row r="308" s="42" customFormat="1" x14ac:dyDescent="0.35"/>
    <row r="309" s="42" customFormat="1" x14ac:dyDescent="0.35"/>
    <row r="310" s="42" customFormat="1" x14ac:dyDescent="0.35"/>
    <row r="311" s="42" customFormat="1" x14ac:dyDescent="0.35"/>
    <row r="312" s="42" customFormat="1" x14ac:dyDescent="0.35"/>
    <row r="313" s="42" customFormat="1" x14ac:dyDescent="0.35"/>
    <row r="314" s="42" customFormat="1" x14ac:dyDescent="0.35"/>
    <row r="315" s="42" customFormat="1" x14ac:dyDescent="0.35"/>
    <row r="316" s="42" customFormat="1" x14ac:dyDescent="0.35"/>
    <row r="317" s="42" customFormat="1" x14ac:dyDescent="0.35"/>
    <row r="318" s="42" customFormat="1" x14ac:dyDescent="0.35"/>
    <row r="319" s="42" customFormat="1" x14ac:dyDescent="0.35"/>
    <row r="320" s="42" customFormat="1" x14ac:dyDescent="0.35"/>
    <row r="321" s="42" customFormat="1" x14ac:dyDescent="0.35"/>
    <row r="322" s="42" customFormat="1" x14ac:dyDescent="0.35"/>
    <row r="323" s="42" customFormat="1" x14ac:dyDescent="0.35"/>
    <row r="324" s="42" customFormat="1" x14ac:dyDescent="0.35"/>
    <row r="325" s="42" customFormat="1" x14ac:dyDescent="0.35"/>
    <row r="326" s="42" customFormat="1" x14ac:dyDescent="0.35"/>
    <row r="327" s="42" customFormat="1" x14ac:dyDescent="0.35"/>
    <row r="328" s="42" customFormat="1" x14ac:dyDescent="0.35"/>
    <row r="329" s="42" customFormat="1" x14ac:dyDescent="0.35"/>
    <row r="330" s="42" customFormat="1" x14ac:dyDescent="0.35"/>
    <row r="331" s="42" customFormat="1" x14ac:dyDescent="0.35"/>
    <row r="332" s="42" customFormat="1" x14ac:dyDescent="0.35"/>
    <row r="333" s="42" customFormat="1" x14ac:dyDescent="0.35"/>
    <row r="334" s="42" customFormat="1" x14ac:dyDescent="0.35"/>
    <row r="335" s="42" customFormat="1" x14ac:dyDescent="0.35"/>
    <row r="336" s="42" customFormat="1" x14ac:dyDescent="0.35"/>
    <row r="337" s="42" customFormat="1" x14ac:dyDescent="0.35"/>
    <row r="338" s="42" customFormat="1" x14ac:dyDescent="0.35"/>
    <row r="339" s="42" customFormat="1" x14ac:dyDescent="0.35"/>
    <row r="340" s="42" customFormat="1" x14ac:dyDescent="0.35"/>
    <row r="341" s="42" customFormat="1" x14ac:dyDescent="0.35"/>
    <row r="342" s="42" customFormat="1" x14ac:dyDescent="0.35"/>
    <row r="343" s="42" customFormat="1" x14ac:dyDescent="0.35"/>
    <row r="344" s="42" customFormat="1" x14ac:dyDescent="0.35"/>
    <row r="345" s="42" customFormat="1" x14ac:dyDescent="0.35"/>
    <row r="346" s="42" customFormat="1" x14ac:dyDescent="0.35"/>
    <row r="347" s="42" customFormat="1" x14ac:dyDescent="0.35"/>
    <row r="348" s="42" customFormat="1" x14ac:dyDescent="0.35"/>
    <row r="349" s="42" customFormat="1" x14ac:dyDescent="0.35"/>
    <row r="350" s="42" customFormat="1" x14ac:dyDescent="0.35"/>
    <row r="351" s="42" customFormat="1" x14ac:dyDescent="0.35"/>
    <row r="352" s="42" customFormat="1" x14ac:dyDescent="0.35"/>
    <row r="353" s="42" customFormat="1" x14ac:dyDescent="0.35"/>
    <row r="354" s="42" customFormat="1" x14ac:dyDescent="0.35"/>
    <row r="355" s="42" customFormat="1" x14ac:dyDescent="0.35"/>
    <row r="356" s="42" customFormat="1" x14ac:dyDescent="0.35"/>
    <row r="357" s="42" customFormat="1" x14ac:dyDescent="0.35"/>
    <row r="358" s="42" customFormat="1" x14ac:dyDescent="0.35"/>
    <row r="359" s="42" customFormat="1" x14ac:dyDescent="0.35"/>
    <row r="360" s="42" customFormat="1" x14ac:dyDescent="0.35"/>
    <row r="361" s="42" customFormat="1" x14ac:dyDescent="0.35"/>
    <row r="362" s="42" customFormat="1" x14ac:dyDescent="0.35"/>
    <row r="363" s="42" customFormat="1" x14ac:dyDescent="0.35"/>
    <row r="364" s="42" customFormat="1" x14ac:dyDescent="0.35"/>
    <row r="365" s="42" customFormat="1" x14ac:dyDescent="0.35"/>
    <row r="366" s="42" customFormat="1" x14ac:dyDescent="0.35"/>
    <row r="367" s="42" customFormat="1" x14ac:dyDescent="0.35"/>
    <row r="368" s="42" customFormat="1" x14ac:dyDescent="0.35"/>
    <row r="369" s="42" customFormat="1" x14ac:dyDescent="0.35"/>
    <row r="370" s="42" customFormat="1" x14ac:dyDescent="0.35"/>
    <row r="371" s="42" customFormat="1" x14ac:dyDescent="0.35"/>
    <row r="372" s="42" customFormat="1" x14ac:dyDescent="0.35"/>
    <row r="373" s="42" customFormat="1" x14ac:dyDescent="0.35"/>
    <row r="374" s="42" customFormat="1" x14ac:dyDescent="0.35"/>
    <row r="375" s="42" customFormat="1" x14ac:dyDescent="0.35"/>
    <row r="376" s="42" customFormat="1" x14ac:dyDescent="0.35"/>
    <row r="377" s="42" customFormat="1" x14ac:dyDescent="0.35"/>
    <row r="378" s="42" customFormat="1" x14ac:dyDescent="0.35"/>
    <row r="379" s="42" customFormat="1" x14ac:dyDescent="0.35"/>
    <row r="380" s="42" customFormat="1" x14ac:dyDescent="0.35"/>
    <row r="381" s="42" customFormat="1" x14ac:dyDescent="0.35"/>
    <row r="382" s="42" customFormat="1" x14ac:dyDescent="0.35"/>
    <row r="383" s="42" customFormat="1" x14ac:dyDescent="0.35"/>
    <row r="384" s="42" customFormat="1" x14ac:dyDescent="0.35"/>
    <row r="385" s="42" customFormat="1" x14ac:dyDescent="0.35"/>
    <row r="386" s="42" customFormat="1" x14ac:dyDescent="0.35"/>
    <row r="387" s="42" customFormat="1" x14ac:dyDescent="0.35"/>
    <row r="388" s="42" customFormat="1" x14ac:dyDescent="0.35"/>
    <row r="389" s="42" customFormat="1" x14ac:dyDescent="0.35"/>
    <row r="390" s="42" customFormat="1" x14ac:dyDescent="0.35"/>
    <row r="391" s="42" customFormat="1" x14ac:dyDescent="0.35"/>
    <row r="392" s="42" customFormat="1" x14ac:dyDescent="0.35"/>
    <row r="393" s="42" customFormat="1" x14ac:dyDescent="0.35"/>
    <row r="394" s="42" customFormat="1" x14ac:dyDescent="0.35"/>
    <row r="395" s="42" customFormat="1" x14ac:dyDescent="0.35"/>
    <row r="396" s="42" customFormat="1" x14ac:dyDescent="0.35"/>
    <row r="397" s="42" customFormat="1" x14ac:dyDescent="0.35"/>
    <row r="398" s="42" customFormat="1" x14ac:dyDescent="0.35"/>
    <row r="399" s="42" customFormat="1" x14ac:dyDescent="0.35"/>
    <row r="400" s="42" customFormat="1" x14ac:dyDescent="0.35"/>
    <row r="401" s="42" customFormat="1" x14ac:dyDescent="0.35"/>
    <row r="402" s="42" customFormat="1" x14ac:dyDescent="0.35"/>
    <row r="403" s="42" customFormat="1" x14ac:dyDescent="0.35"/>
    <row r="404" s="42" customFormat="1" x14ac:dyDescent="0.35"/>
    <row r="405" s="42" customFormat="1" x14ac:dyDescent="0.35"/>
    <row r="406" s="42" customFormat="1" x14ac:dyDescent="0.35"/>
    <row r="407" s="42" customFormat="1" x14ac:dyDescent="0.35"/>
    <row r="408" s="42" customFormat="1" x14ac:dyDescent="0.35"/>
    <row r="409" s="42" customFormat="1" x14ac:dyDescent="0.35"/>
    <row r="410" s="42" customFormat="1" x14ac:dyDescent="0.35"/>
    <row r="411" s="42" customFormat="1" x14ac:dyDescent="0.35"/>
    <row r="412" s="42" customFormat="1" x14ac:dyDescent="0.35"/>
    <row r="413" s="42" customFormat="1" x14ac:dyDescent="0.35"/>
    <row r="414" s="42" customFormat="1" x14ac:dyDescent="0.35"/>
    <row r="415" s="42" customFormat="1" x14ac:dyDescent="0.35"/>
    <row r="416" s="42" customFormat="1" x14ac:dyDescent="0.35"/>
    <row r="417" s="42" customFormat="1" x14ac:dyDescent="0.35"/>
    <row r="418" s="42" customFormat="1" x14ac:dyDescent="0.35"/>
    <row r="419" s="42" customFormat="1" x14ac:dyDescent="0.35"/>
    <row r="420" s="42" customFormat="1" x14ac:dyDescent="0.35"/>
    <row r="421" s="42" customFormat="1" x14ac:dyDescent="0.35"/>
    <row r="422" s="42" customFormat="1" x14ac:dyDescent="0.35"/>
    <row r="423" s="42" customFormat="1" x14ac:dyDescent="0.35"/>
    <row r="424" s="42" customFormat="1" x14ac:dyDescent="0.35"/>
    <row r="425" s="42" customFormat="1" x14ac:dyDescent="0.35"/>
    <row r="426" s="42" customFormat="1" x14ac:dyDescent="0.35"/>
    <row r="427" s="42" customFormat="1" x14ac:dyDescent="0.35"/>
    <row r="428" s="42" customFormat="1" x14ac:dyDescent="0.35"/>
    <row r="429" s="42" customFormat="1" x14ac:dyDescent="0.35"/>
    <row r="430" s="42" customFormat="1" x14ac:dyDescent="0.35"/>
    <row r="431" s="42" customFormat="1" x14ac:dyDescent="0.35"/>
    <row r="432" s="42" customFormat="1" x14ac:dyDescent="0.35"/>
    <row r="433" s="42" customFormat="1" x14ac:dyDescent="0.35"/>
    <row r="434" s="42" customFormat="1" x14ac:dyDescent="0.35"/>
    <row r="435" s="42" customFormat="1" x14ac:dyDescent="0.35"/>
    <row r="436" s="42" customFormat="1" x14ac:dyDescent="0.35"/>
    <row r="437" s="42" customFormat="1" x14ac:dyDescent="0.35"/>
    <row r="438" s="42" customFormat="1" x14ac:dyDescent="0.35"/>
    <row r="439" s="42" customFormat="1" x14ac:dyDescent="0.35"/>
    <row r="440" s="42" customFormat="1" x14ac:dyDescent="0.35"/>
    <row r="441" s="42" customFormat="1" x14ac:dyDescent="0.35"/>
    <row r="442" s="42" customFormat="1" x14ac:dyDescent="0.35"/>
    <row r="443" s="42" customFormat="1" x14ac:dyDescent="0.35"/>
    <row r="444" s="42" customFormat="1" x14ac:dyDescent="0.35"/>
    <row r="445" s="42" customFormat="1" x14ac:dyDescent="0.35"/>
    <row r="446" s="42" customFormat="1" x14ac:dyDescent="0.35"/>
    <row r="447" s="42" customFormat="1" x14ac:dyDescent="0.35"/>
    <row r="448" s="42" customFormat="1" x14ac:dyDescent="0.35"/>
    <row r="449" s="42" customFormat="1" x14ac:dyDescent="0.35"/>
    <row r="450" s="42" customFormat="1" x14ac:dyDescent="0.35"/>
    <row r="451" s="42" customFormat="1" x14ac:dyDescent="0.35"/>
    <row r="452" s="42" customFormat="1" x14ac:dyDescent="0.35"/>
    <row r="453" s="42" customFormat="1" x14ac:dyDescent="0.35"/>
    <row r="454" s="42" customFormat="1" x14ac:dyDescent="0.35"/>
    <row r="455" s="42" customFormat="1" x14ac:dyDescent="0.35"/>
    <row r="456" s="42" customFormat="1" x14ac:dyDescent="0.35"/>
    <row r="457" s="42" customFormat="1" x14ac:dyDescent="0.35"/>
    <row r="458" s="42" customFormat="1" x14ac:dyDescent="0.35"/>
    <row r="459" s="42" customFormat="1" x14ac:dyDescent="0.35"/>
    <row r="460" s="42" customFormat="1" x14ac:dyDescent="0.35"/>
    <row r="461" s="42" customFormat="1" x14ac:dyDescent="0.35"/>
    <row r="462" s="42" customFormat="1" x14ac:dyDescent="0.35"/>
    <row r="463" s="42" customFormat="1" x14ac:dyDescent="0.35"/>
    <row r="464" s="42" customFormat="1" x14ac:dyDescent="0.35"/>
    <row r="465" s="42" customFormat="1" x14ac:dyDescent="0.35"/>
    <row r="466" s="42" customFormat="1" x14ac:dyDescent="0.35"/>
    <row r="467" s="42" customFormat="1" x14ac:dyDescent="0.35"/>
    <row r="468" s="42" customFormat="1" x14ac:dyDescent="0.35"/>
    <row r="469" s="42" customFormat="1" x14ac:dyDescent="0.35"/>
    <row r="470" s="42" customFormat="1" x14ac:dyDescent="0.35"/>
    <row r="471" s="42" customFormat="1" x14ac:dyDescent="0.35"/>
    <row r="472" s="42" customFormat="1" x14ac:dyDescent="0.35"/>
    <row r="473" s="42" customFormat="1" x14ac:dyDescent="0.35"/>
    <row r="474" s="42" customFormat="1" x14ac:dyDescent="0.35"/>
    <row r="475" s="42" customFormat="1" x14ac:dyDescent="0.35"/>
    <row r="476" s="42" customFormat="1" x14ac:dyDescent="0.35"/>
    <row r="477" s="42" customFormat="1" x14ac:dyDescent="0.35"/>
    <row r="478" s="42" customFormat="1" x14ac:dyDescent="0.35"/>
    <row r="479" s="42" customFormat="1" x14ac:dyDescent="0.35"/>
    <row r="480" s="42" customFormat="1" x14ac:dyDescent="0.35"/>
    <row r="481" s="42" customFormat="1" x14ac:dyDescent="0.35"/>
    <row r="482" s="42" customFormat="1" x14ac:dyDescent="0.35"/>
    <row r="483" s="42" customFormat="1" x14ac:dyDescent="0.35"/>
    <row r="484" s="42" customFormat="1" x14ac:dyDescent="0.35"/>
    <row r="485" s="42" customFormat="1" x14ac:dyDescent="0.35"/>
    <row r="486" s="42" customFormat="1" x14ac:dyDescent="0.35"/>
    <row r="487" s="42" customFormat="1" x14ac:dyDescent="0.35"/>
    <row r="488" s="42" customFormat="1" x14ac:dyDescent="0.35"/>
    <row r="489" s="42" customFormat="1" x14ac:dyDescent="0.35"/>
    <row r="490" s="42" customFormat="1" x14ac:dyDescent="0.35"/>
    <row r="491" s="42" customFormat="1" x14ac:dyDescent="0.35"/>
    <row r="492" s="42" customFormat="1" x14ac:dyDescent="0.35"/>
    <row r="493" s="42" customFormat="1" x14ac:dyDescent="0.35"/>
    <row r="494" s="42" customFormat="1" x14ac:dyDescent="0.35"/>
    <row r="495" s="42" customFormat="1" x14ac:dyDescent="0.35"/>
    <row r="496" s="42" customFormat="1" x14ac:dyDescent="0.35"/>
    <row r="497" s="42" customFormat="1" x14ac:dyDescent="0.35"/>
    <row r="498" s="42" customFormat="1" x14ac:dyDescent="0.35"/>
    <row r="499" s="42" customFormat="1" x14ac:dyDescent="0.35"/>
    <row r="500" s="42" customFormat="1" x14ac:dyDescent="0.35"/>
    <row r="501" s="42" customFormat="1" x14ac:dyDescent="0.35"/>
    <row r="502" s="42" customFormat="1" x14ac:dyDescent="0.35"/>
    <row r="503" s="42" customFormat="1" x14ac:dyDescent="0.35"/>
    <row r="504" s="42" customFormat="1" x14ac:dyDescent="0.35"/>
    <row r="505" s="42" customFormat="1" x14ac:dyDescent="0.35"/>
    <row r="506" s="42" customFormat="1" x14ac:dyDescent="0.35"/>
    <row r="507" s="42" customFormat="1" x14ac:dyDescent="0.35"/>
    <row r="508" s="42" customFormat="1" x14ac:dyDescent="0.35"/>
    <row r="509" s="42" customFormat="1" x14ac:dyDescent="0.35"/>
    <row r="510" s="42" customFormat="1" x14ac:dyDescent="0.35"/>
    <row r="511" s="42" customFormat="1" x14ac:dyDescent="0.35"/>
    <row r="512" s="42" customFormat="1" x14ac:dyDescent="0.35"/>
    <row r="513" s="42" customFormat="1" x14ac:dyDescent="0.35"/>
    <row r="514" s="42" customFormat="1" x14ac:dyDescent="0.35"/>
    <row r="515" s="42" customFormat="1" x14ac:dyDescent="0.35"/>
    <row r="516" s="42" customFormat="1" x14ac:dyDescent="0.35"/>
    <row r="517" s="42" customFormat="1" x14ac:dyDescent="0.35"/>
    <row r="518" s="42" customFormat="1" x14ac:dyDescent="0.35"/>
    <row r="519" s="42" customFormat="1" x14ac:dyDescent="0.35"/>
    <row r="520" s="42" customFormat="1" x14ac:dyDescent="0.35"/>
    <row r="521" s="42" customFormat="1" x14ac:dyDescent="0.35"/>
    <row r="522" s="42" customFormat="1" x14ac:dyDescent="0.35"/>
    <row r="523" s="42" customFormat="1" x14ac:dyDescent="0.35"/>
    <row r="524" s="42" customFormat="1" x14ac:dyDescent="0.35"/>
    <row r="525" s="42" customFormat="1" x14ac:dyDescent="0.35"/>
    <row r="526" s="42" customFormat="1" x14ac:dyDescent="0.35"/>
    <row r="527" s="42" customFormat="1" x14ac:dyDescent="0.35"/>
    <row r="528" s="42" customFormat="1" x14ac:dyDescent="0.35"/>
    <row r="529" s="42" customFormat="1" x14ac:dyDescent="0.35"/>
    <row r="530" s="42" customFormat="1" x14ac:dyDescent="0.35"/>
    <row r="531" s="42" customFormat="1" x14ac:dyDescent="0.35"/>
    <row r="532" s="42" customFormat="1" x14ac:dyDescent="0.35"/>
    <row r="533" s="42" customFormat="1" x14ac:dyDescent="0.35"/>
    <row r="534" s="42" customFormat="1" x14ac:dyDescent="0.35"/>
    <row r="535" s="42" customFormat="1" x14ac:dyDescent="0.35"/>
    <row r="536" s="42" customFormat="1" x14ac:dyDescent="0.35"/>
    <row r="537" s="42" customFormat="1" x14ac:dyDescent="0.35"/>
    <row r="538" s="42" customFormat="1" x14ac:dyDescent="0.35"/>
    <row r="539" s="42" customFormat="1" x14ac:dyDescent="0.35"/>
    <row r="540" s="42" customFormat="1" x14ac:dyDescent="0.35"/>
    <row r="541" s="42" customFormat="1" x14ac:dyDescent="0.35"/>
    <row r="542" s="42" customFormat="1" x14ac:dyDescent="0.35"/>
    <row r="543" s="42" customFormat="1" x14ac:dyDescent="0.35"/>
    <row r="544" s="42" customFormat="1" x14ac:dyDescent="0.35"/>
    <row r="545" s="42" customFormat="1" x14ac:dyDescent="0.35"/>
    <row r="546" s="42" customFormat="1" x14ac:dyDescent="0.35"/>
    <row r="547" s="42" customFormat="1" x14ac:dyDescent="0.35"/>
    <row r="548" s="42" customFormat="1" x14ac:dyDescent="0.35"/>
    <row r="549" s="42" customFormat="1" x14ac:dyDescent="0.35"/>
    <row r="550" s="42" customFormat="1" x14ac:dyDescent="0.35"/>
    <row r="551" s="42" customFormat="1" x14ac:dyDescent="0.35"/>
    <row r="552" s="42" customFormat="1" x14ac:dyDescent="0.35"/>
    <row r="553" s="42" customFormat="1" x14ac:dyDescent="0.35"/>
    <row r="554" s="42" customFormat="1" x14ac:dyDescent="0.35"/>
    <row r="555" s="42" customFormat="1" x14ac:dyDescent="0.35"/>
    <row r="556" s="42" customFormat="1" x14ac:dyDescent="0.35"/>
    <row r="557" s="42" customFormat="1" x14ac:dyDescent="0.35"/>
    <row r="558" s="42" customFormat="1" x14ac:dyDescent="0.35"/>
    <row r="559" s="42" customFormat="1" x14ac:dyDescent="0.35"/>
    <row r="560" s="42" customFormat="1" x14ac:dyDescent="0.35"/>
    <row r="561" s="42" customFormat="1" x14ac:dyDescent="0.35"/>
    <row r="562" s="42" customFormat="1" x14ac:dyDescent="0.35"/>
    <row r="563" s="42" customFormat="1" x14ac:dyDescent="0.35"/>
    <row r="564" s="42" customFormat="1" x14ac:dyDescent="0.35"/>
    <row r="565" s="42" customFormat="1" x14ac:dyDescent="0.35"/>
    <row r="566" s="42" customFormat="1" x14ac:dyDescent="0.35"/>
    <row r="567" s="42" customFormat="1" x14ac:dyDescent="0.35"/>
    <row r="568" s="42" customFormat="1" x14ac:dyDescent="0.35"/>
    <row r="569" s="42" customFormat="1" x14ac:dyDescent="0.35"/>
    <row r="570" s="42" customFormat="1" x14ac:dyDescent="0.35"/>
    <row r="571" s="42" customFormat="1" x14ac:dyDescent="0.35"/>
    <row r="572" s="42" customFormat="1" x14ac:dyDescent="0.35"/>
    <row r="573" s="42" customFormat="1" x14ac:dyDescent="0.35"/>
    <row r="574" s="42" customFormat="1" x14ac:dyDescent="0.35"/>
    <row r="575" s="42" customFormat="1" x14ac:dyDescent="0.35"/>
    <row r="576" s="42" customFormat="1" x14ac:dyDescent="0.35"/>
    <row r="577" s="42" customFormat="1" x14ac:dyDescent="0.35"/>
    <row r="578" s="42" customFormat="1" x14ac:dyDescent="0.35"/>
  </sheetData>
  <mergeCells count="10">
    <mergeCell ref="C31:D31"/>
    <mergeCell ref="C32:D32"/>
    <mergeCell ref="C33:D33"/>
    <mergeCell ref="C35:D35"/>
    <mergeCell ref="C36:D36"/>
    <mergeCell ref="C4:I4"/>
    <mergeCell ref="C8:C19"/>
    <mergeCell ref="C20:C23"/>
    <mergeCell ref="C24:C26"/>
    <mergeCell ref="C7:D7"/>
  </mergeCell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1F25-32C9-4864-A4D5-E4BD6759400E}">
  <sheetPr>
    <tabColor theme="2" tint="-0.499984740745262"/>
  </sheetPr>
  <dimension ref="B2:I28"/>
  <sheetViews>
    <sheetView workbookViewId="0">
      <selection activeCell="D4" sqref="D4"/>
    </sheetView>
  </sheetViews>
  <sheetFormatPr defaultRowHeight="15.5" x14ac:dyDescent="0.35"/>
  <cols>
    <col min="1" max="1" width="8.6640625" style="118"/>
    <col min="2" max="2" width="23.75" style="118" customWidth="1"/>
    <col min="3" max="3" width="19.9140625" style="118" bestFit="1" customWidth="1"/>
    <col min="4" max="9" width="16.83203125" style="118" customWidth="1"/>
    <col min="10" max="16384" width="8.6640625" style="118"/>
  </cols>
  <sheetData>
    <row r="2" spans="2:9" x14ac:dyDescent="0.35">
      <c r="B2" s="119">
        <v>1</v>
      </c>
      <c r="C2" s="119" t="s">
        <v>64</v>
      </c>
      <c r="D2" s="119" t="s">
        <v>65</v>
      </c>
      <c r="E2" s="119" t="s">
        <v>66</v>
      </c>
      <c r="F2" s="119" t="s">
        <v>67</v>
      </c>
      <c r="G2" s="119" t="s">
        <v>68</v>
      </c>
      <c r="H2" s="119" t="s">
        <v>69</v>
      </c>
      <c r="I2" s="119" t="s">
        <v>70</v>
      </c>
    </row>
    <row r="3" spans="2:9" x14ac:dyDescent="0.35">
      <c r="B3" s="118">
        <v>2</v>
      </c>
      <c r="C3" s="118" t="s">
        <v>81</v>
      </c>
      <c r="D3" s="118" t="s">
        <v>83</v>
      </c>
      <c r="E3" s="118" t="s">
        <v>87</v>
      </c>
      <c r="F3" s="118" t="s">
        <v>90</v>
      </c>
      <c r="G3" s="118" t="s">
        <v>68</v>
      </c>
      <c r="H3" s="118" t="s">
        <v>69</v>
      </c>
      <c r="I3" s="118" t="s">
        <v>70</v>
      </c>
    </row>
    <row r="4" spans="2:9" x14ac:dyDescent="0.35">
      <c r="B4" s="118">
        <f>B3+1</f>
        <v>3</v>
      </c>
      <c r="C4" s="118" t="s">
        <v>82</v>
      </c>
      <c r="D4" s="118" t="s">
        <v>84</v>
      </c>
      <c r="E4" s="118" t="s">
        <v>88</v>
      </c>
      <c r="F4" s="118" t="s">
        <v>91</v>
      </c>
    </row>
    <row r="5" spans="2:9" x14ac:dyDescent="0.35">
      <c r="B5" s="118">
        <f t="shared" ref="B5:B14" si="0">B4+1</f>
        <v>4</v>
      </c>
      <c r="C5" s="118" t="s">
        <v>71</v>
      </c>
      <c r="D5" s="118" t="s">
        <v>85</v>
      </c>
      <c r="E5" s="118" t="s">
        <v>89</v>
      </c>
    </row>
    <row r="6" spans="2:9" x14ac:dyDescent="0.35">
      <c r="B6" s="118">
        <f t="shared" si="0"/>
        <v>5</v>
      </c>
      <c r="C6" s="118" t="s">
        <v>72</v>
      </c>
      <c r="D6" s="118" t="s">
        <v>86</v>
      </c>
    </row>
    <row r="7" spans="2:9" x14ac:dyDescent="0.35">
      <c r="B7" s="118">
        <f t="shared" si="0"/>
        <v>6</v>
      </c>
      <c r="C7" s="118" t="s">
        <v>73</v>
      </c>
    </row>
    <row r="8" spans="2:9" x14ac:dyDescent="0.35">
      <c r="B8" s="118">
        <f t="shared" si="0"/>
        <v>7</v>
      </c>
      <c r="C8" s="118" t="s">
        <v>74</v>
      </c>
    </row>
    <row r="9" spans="2:9" x14ac:dyDescent="0.35">
      <c r="B9" s="118">
        <f t="shared" si="0"/>
        <v>8</v>
      </c>
      <c r="C9" s="118" t="s">
        <v>75</v>
      </c>
    </row>
    <row r="10" spans="2:9" x14ac:dyDescent="0.35">
      <c r="B10" s="118">
        <f t="shared" si="0"/>
        <v>9</v>
      </c>
      <c r="C10" s="118" t="s">
        <v>76</v>
      </c>
    </row>
    <row r="11" spans="2:9" x14ac:dyDescent="0.35">
      <c r="B11" s="118">
        <f t="shared" si="0"/>
        <v>10</v>
      </c>
      <c r="C11" s="118" t="s">
        <v>77</v>
      </c>
    </row>
    <row r="12" spans="2:9" x14ac:dyDescent="0.35">
      <c r="B12" s="118">
        <f t="shared" si="0"/>
        <v>11</v>
      </c>
      <c r="C12" s="118" t="s">
        <v>78</v>
      </c>
    </row>
    <row r="13" spans="2:9" x14ac:dyDescent="0.35">
      <c r="B13" s="118">
        <f t="shared" si="0"/>
        <v>12</v>
      </c>
      <c r="C13" s="118" t="s">
        <v>79</v>
      </c>
    </row>
    <row r="14" spans="2:9" x14ac:dyDescent="0.35">
      <c r="B14" s="118">
        <f t="shared" si="0"/>
        <v>13</v>
      </c>
      <c r="C14" s="118" t="s">
        <v>80</v>
      </c>
    </row>
    <row r="16" spans="2:9" x14ac:dyDescent="0.35">
      <c r="B16" s="119" t="s">
        <v>92</v>
      </c>
    </row>
    <row r="17" spans="2:2" x14ac:dyDescent="0.35">
      <c r="B17" s="118" t="str">
        <f>IF(HLOOKUP(NSR!$E$6,Data!$C$2:$I$14,Data!B3,FALSE)=0,"",HLOOKUP(NSR!$E$6,Data!$C$2:$I$14,Data!B3,FALSE))</f>
        <v>Vermelhos Sul</v>
      </c>
    </row>
    <row r="18" spans="2:2" x14ac:dyDescent="0.35">
      <c r="B18" s="118" t="str">
        <f>IF(HLOOKUP(NSR!$E$6,Data!$C$2:$I$14,Data!B4,FALSE)=0,"",HLOOKUP(NSR!$E$6,Data!$C$2:$I$14,Data!B4,FALSE))</f>
        <v>UG03</v>
      </c>
    </row>
    <row r="19" spans="2:2" x14ac:dyDescent="0.35">
      <c r="B19" s="118" t="str">
        <f>IF(HLOOKUP(NSR!$E$6,Data!$C$2:$I$14,Data!B5,FALSE)=0,"",HLOOKUP(NSR!$E$6,Data!$C$2:$I$14,Data!B5,FALSE))</f>
        <v>N5/UG04</v>
      </c>
    </row>
    <row r="20" spans="2:2" x14ac:dyDescent="0.35">
      <c r="B20" s="118" t="str">
        <f>IF(HLOOKUP(NSR!$E$6,Data!$C$2:$I$14,Data!B6,FALSE)=0,"",HLOOKUP(NSR!$E$6,Data!$C$2:$I$14,Data!B6,FALSE))</f>
        <v>N8 - UG</v>
      </c>
    </row>
    <row r="21" spans="2:2" x14ac:dyDescent="0.35">
      <c r="B21" s="118" t="str">
        <f>IF(HLOOKUP(NSR!$E$6,Data!$C$2:$I$14,Data!B7,FALSE)=0,"",HLOOKUP(NSR!$E$6,Data!$C$2:$I$14,Data!B7,FALSE))</f>
        <v/>
      </c>
    </row>
    <row r="22" spans="2:2" x14ac:dyDescent="0.35">
      <c r="B22" s="118" t="str">
        <f>IF(HLOOKUP(NSR!$E$6,Data!$C$2:$I$14,Data!B8,FALSE)=0,"",HLOOKUP(NSR!$E$6,Data!$C$2:$I$14,Data!B8,FALSE))</f>
        <v/>
      </c>
    </row>
    <row r="23" spans="2:2" x14ac:dyDescent="0.35">
      <c r="B23" s="118" t="str">
        <f>IF(HLOOKUP(NSR!$E$6,Data!$C$2:$I$14,Data!B9,FALSE)=0,"",HLOOKUP(NSR!$E$6,Data!$C$2:$I$14,Data!B9,FALSE))</f>
        <v/>
      </c>
    </row>
    <row r="24" spans="2:2" x14ac:dyDescent="0.35">
      <c r="B24" s="118" t="str">
        <f>IF(HLOOKUP(NSR!$E$6,Data!$C$2:$I$14,Data!B10,FALSE)=0,"",HLOOKUP(NSR!$E$6,Data!$C$2:$I$14,Data!B10,FALSE))</f>
        <v/>
      </c>
    </row>
    <row r="25" spans="2:2" x14ac:dyDescent="0.35">
      <c r="B25" s="118" t="str">
        <f>IF(HLOOKUP(NSR!$E$6,Data!$C$2:$I$14,Data!B11,FALSE)=0,"",HLOOKUP(NSR!$E$6,Data!$C$2:$I$14,Data!B11,FALSE))</f>
        <v/>
      </c>
    </row>
    <row r="26" spans="2:2" x14ac:dyDescent="0.35">
      <c r="B26" s="118" t="str">
        <f>IF(HLOOKUP(NSR!$E$6,Data!$C$2:$I$14,Data!B12,FALSE)=0,"",HLOOKUP(NSR!$E$6,Data!$C$2:$I$14,Data!B12,FALSE))</f>
        <v/>
      </c>
    </row>
    <row r="27" spans="2:2" x14ac:dyDescent="0.35">
      <c r="B27" s="118" t="str">
        <f>IF(HLOOKUP(NSR!$E$6,Data!$C$2:$I$14,Data!B13,FALSE)=0,"",HLOOKUP(NSR!$E$6,Data!$C$2:$I$14,Data!B13,FALSE))</f>
        <v/>
      </c>
    </row>
    <row r="28" spans="2:2" x14ac:dyDescent="0.35">
      <c r="B28" s="118" t="str">
        <f>IF(HLOOKUP(NSR!$E$6,Data!$C$2:$I$14,Data!B14,FALSE)=0,"",HLOOKUP(NSR!$E$6,Data!$C$2:$I$14,Data!B14,FALSE))</f>
        <v/>
      </c>
    </row>
  </sheetData>
  <pageMargins left="0.511811024" right="0.511811024" top="0.78740157499999996" bottom="0.78740157499999996" header="0.31496062000000002" footer="0.31496062000000002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3E1B940E0AD66488C855F0213331714" ma:contentTypeVersion="4" ma:contentTypeDescription="Create a new document." ma:contentTypeScope="" ma:versionID="5dd4bcf3d15cdc4f2f4b043f6b6bbf18">
  <xsd:schema xmlns:xsd="http://www.w3.org/2001/XMLSchema" xmlns:xs="http://www.w3.org/2001/XMLSchema" xmlns:p="http://schemas.microsoft.com/office/2006/metadata/properties" xmlns:ns2="3bee9fd5-ab6b-4212-975f-ababc6bcbee8" xmlns:ns3="27d04637-c428-4c77-a657-7b5008212a18" xmlns:ns4="e37b7b6a-2e87-4372-8a9a-7ada8d00f201" xmlns:ns5="32f76d30-6d6c-4c9f-945d-f66db0d7492e" targetNamespace="http://schemas.microsoft.com/office/2006/metadata/properties" ma:root="true" ma:fieldsID="5740f3bc05d14b9709d6d50c9a6952c0" ns2:_="" ns3:_="" ns4:_="" ns5:_="">
    <xsd:import namespace="3bee9fd5-ab6b-4212-975f-ababc6bcbee8"/>
    <xsd:import namespace="27d04637-c428-4c77-a657-7b5008212a18"/>
    <xsd:import namespace="e37b7b6a-2e87-4372-8a9a-7ada8d00f201"/>
    <xsd:import namespace="32f76d30-6d6c-4c9f-945d-f66db0d7492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  <xsd:element ref="ns4:lcf76f155ced4ddcb4097134ff3c332f" minOccurs="0"/>
                <xsd:element ref="ns5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e9fd5-ab6b-4212-975f-ababc6bcbee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7d04637-c428-4c77-a657-7b5008212a18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7b7b6a-2e87-4372-8a9a-7ada8d00f201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c2499140-3370-47ba-a799-a18fa0be8ba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f76d30-6d6c-4c9f-945d-f66db0d7492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dfcbc586-0917-40ce-aa44-60df353e96fc}" ma:internalName="TaxCatchAll" ma:showField="CatchAllData" ma:web="32f76d30-6d6c-4c9f-945d-f66db0d7492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2f76d30-6d6c-4c9f-945d-f66db0d7492e" xsi:nil="true"/>
    <lcf76f155ced4ddcb4097134ff3c332f xmlns="e37b7b6a-2e87-4372-8a9a-7ada8d00f20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1268E0-D0C7-4285-9F8A-95552C2EEEC2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3bee9fd5-ab6b-4212-975f-ababc6bcbee8"/>
    <ds:schemaRef ds:uri="27d04637-c428-4c77-a657-7b5008212a18"/>
    <ds:schemaRef ds:uri="e37b7b6a-2e87-4372-8a9a-7ada8d00f201"/>
    <ds:schemaRef ds:uri="32f76d30-6d6c-4c9f-945d-f66db0d7492e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342DB3F-8820-4257-9FE7-B1DA62884333}">
  <ds:schemaRefs>
    <ds:schemaRef ds:uri="http://schemas.microsoft.com/office/2006/metadata/properties"/>
    <ds:schemaRef ds:uri="http://www.w3.org/2000/xmlns/"/>
    <ds:schemaRef ds:uri="32f76d30-6d6c-4c9f-945d-f66db0d7492e"/>
    <ds:schemaRef ds:uri="http://www.w3.org/2001/XMLSchema-instance"/>
    <ds:schemaRef ds:uri="e37b7b6a-2e87-4372-8a9a-7ada8d00f201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5C8299D-DB75-4F21-92D4-5ACE09DF1F8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NSR</vt:lpstr>
      <vt:lpstr>Assumptions -&gt;</vt:lpstr>
      <vt:lpstr>Price and Costs</vt:lpstr>
      <vt:lpstr>Processing</vt:lpstr>
      <vt:lpstr>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Marcelo. del Giudice</dc:creator>
  <cp:keywords/>
  <dc:description/>
  <cp:lastModifiedBy>Marcelo del Giudice</cp:lastModifiedBy>
  <cp:revision/>
  <dcterms:created xsi:type="dcterms:W3CDTF">2021-07-02T00:45:19Z</dcterms:created>
  <dcterms:modified xsi:type="dcterms:W3CDTF">2025-10-09T19:42:48Z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0x010100B3E1B940E0AD66488C855F0213331714</vt:lpwstr>
  </property>
  <property fmtid="{D5CDD505-2E9C-101B-9397-08002B2CF9AE}" pid="3" name="MediaServiceImageTags">
    <vt:lpwstr/>
  </property>
  <property fmtid="{D5CDD505-2E9C-101B-9397-08002B2CF9AE}" pid="4" name="Order">
    <vt:r8>3802200</vt:r8>
  </property>
</Properties>
</file>